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Ceklist" sheetId="2" state="visible" r:id="rId2"/>
    <sheet xmlns:r="http://schemas.openxmlformats.org/officeDocument/2006/relationships" name="Ringkasan" sheetId="3" state="visible" r:id="rId3"/>
  </sheets>
  <definedNames>
    <definedName name="_xlnm._FilterDatabase" localSheetId="1" hidden="1">'Ceklist'!$A$4:$H$95</definedName>
    <definedName name="_xlnm.Print_Titles" localSheetId="1">'Ceklist'!$4:$4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2A47"/>
      <sz val="16"/>
    </font>
    <font>
      <name val="Arial"/>
      <b val="1"/>
      <sz val="10"/>
    </font>
    <font>
      <name val="Arial"/>
      <sz val="10"/>
    </font>
    <font>
      <name val="Arial"/>
      <b val="1"/>
      <color rgb="000F2A47"/>
      <sz val="14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2A47"/>
      </patternFill>
    </fill>
    <fill>
      <patternFill patternType="solid">
        <fgColor rgb="00F3F6FA"/>
      </patternFill>
    </fill>
    <fill>
      <patternFill patternType="solid">
        <fgColor rgb="00E3E9F1"/>
      </patternFill>
    </fill>
  </fills>
  <borders count="3">
    <border>
      <left/>
      <right/>
      <top/>
      <bottom/>
      <diagonal/>
    </border>
    <border>
      <bottom style="thin"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center"/>
    </xf>
    <xf numFmtId="0" fontId="3" fillId="0" borderId="2" pivotButton="0" quotePrefix="0" xfId="0"/>
    <xf numFmtId="0" fontId="3" fillId="0" borderId="2" applyAlignment="1" pivotButton="0" quotePrefix="0" xfId="0">
      <alignment horizontal="center"/>
    </xf>
    <xf numFmtId="9" fontId="3" fillId="0" borderId="2" applyAlignment="1" pivotButton="0" quotePrefix="0" xfId="0">
      <alignment horizontal="center"/>
    </xf>
    <xf numFmtId="0" fontId="2" fillId="4" borderId="2" pivotButton="0" quotePrefix="0" xfId="0"/>
    <xf numFmtId="0" fontId="2" fillId="4" borderId="2" applyAlignment="1" pivotButton="0" quotePrefix="0" xfId="0">
      <alignment horizontal="center"/>
    </xf>
    <xf numFmtId="9" fontId="2" fillId="4" borderId="2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Ceklist Uji Fitur InnSYnc</t>
        </is>
      </c>
    </row>
    <row r="2"/>
    <row r="3">
      <c r="A3" s="2" t="inlineStr">
        <is>
          <t>Tujuan</t>
        </is>
      </c>
      <c r="B3" s="3" t="inlineStr">
        <is>
          <t>Memastikan setiap fitur berjalan di perangkat sungguhan sebelum dipakai harian.</t>
        </is>
      </c>
    </row>
    <row r="4">
      <c r="A4" s="2" t="inlineStr">
        <is>
          <t>Cara mengisi</t>
        </is>
      </c>
      <c r="B4" s="3" t="inlineStr">
        <is>
          <t>Buka sheet "Ceklist". Kerjakan langkah di kolom Menu dengan akun yang sesuai Peran. Pilih Status: Lulus atau Gagal. Bila Gagal, tulis apa yang terjadi dan di layar mana pada kolom Catatan.</t>
        </is>
      </c>
    </row>
    <row r="5">
      <c r="A5" s="2" t="inlineStr">
        <is>
          <t>Kapan Gagal</t>
        </is>
      </c>
      <c r="B5" s="3" t="inlineStr">
        <is>
          <t>Ada error, hasilnya tidak sama dengan kolom "Hasil yang seharusnya", layar membingungkan, atau terasa lebih ribet dari kertas.</t>
        </is>
      </c>
    </row>
    <row r="6">
      <c r="A6" s="2" t="inlineStr">
        <is>
          <t>Perangkat</t>
        </is>
      </c>
      <c r="B6" s="3" t="inlineStr">
        <is>
          <t>Uji minimal sekali di HP dan sekali di komputer. Isi nama penguji, perangkat, dan tanggal di sheet Ceklist.</t>
        </is>
      </c>
    </row>
    <row r="7">
      <c r="A7" s="2" t="inlineStr">
        <is>
          <t>Butir yang menunggu keputusan hotel</t>
        </is>
      </c>
      <c r="B7" s="3" t="inlineStr">
        <is>
          <t>Laporan tamu asing, QRIS, dan tarif pajak/service charge belum bisa lulus. Jangan ditandai Gagal; beri catatan "menunggu keputusan".</t>
        </is>
      </c>
    </row>
    <row r="8">
      <c r="A8" s="2" t="inlineStr">
        <is>
          <t>Ringkasan</t>
        </is>
      </c>
      <c r="B8" s="3" t="inlineStr">
        <is>
          <t>Sheet "Ringkasan" menghitung otomatis jumlah Lulus, Gagal, dan Belum per bagian.</t>
        </is>
      </c>
    </row>
    <row r="9">
      <c r="A9" s="2" t="inlineStr">
        <is>
          <t>Mengembalikan hasil</t>
        </is>
      </c>
      <c r="B9" s="3" t="inlineStr">
        <is>
          <t>Simpan berkas ini dengan nama Anda (contoh: Ceklist-Rina.xlsx) lalu kirim kembali.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34" customWidth="1" min="4" max="4"/>
    <col width="16" customWidth="1" min="5" max="5"/>
    <col width="52" customWidth="1" min="6" max="6"/>
    <col width="11" customWidth="1" min="7" max="7"/>
    <col width="40" customWidth="1" min="8" max="8"/>
  </cols>
  <sheetData>
    <row r="1">
      <c r="A1" s="4" t="inlineStr">
        <is>
          <t>Ceklist Uji Fitur InnSYnc</t>
        </is>
      </c>
    </row>
    <row r="2">
      <c r="A2" s="5" t="inlineStr">
        <is>
          <t>Penguji</t>
        </is>
      </c>
      <c r="B2" s="6" t="n"/>
      <c r="D2" s="5" t="inlineStr">
        <is>
          <t>Perangkat</t>
        </is>
      </c>
      <c r="E2" s="6" t="n"/>
      <c r="G2" s="5" t="inlineStr">
        <is>
          <t>Tanggal</t>
        </is>
      </c>
      <c r="H2" s="6" t="n"/>
    </row>
    <row r="4" ht="24" customHeight="1">
      <c r="A4" s="7" t="inlineStr">
        <is>
          <t>No</t>
        </is>
      </c>
      <c r="B4" s="7" t="inlineStr">
        <is>
          <t>Bagian</t>
        </is>
      </c>
      <c r="C4" s="7" t="inlineStr">
        <is>
          <t>Fitur</t>
        </is>
      </c>
      <c r="D4" s="7" t="inlineStr">
        <is>
          <t>Menu / langkah</t>
        </is>
      </c>
      <c r="E4" s="7" t="inlineStr">
        <is>
          <t>Peran</t>
        </is>
      </c>
      <c r="F4" s="7" t="inlineStr">
        <is>
          <t>Hasil yang seharusnya</t>
        </is>
      </c>
      <c r="G4" s="7" t="inlineStr">
        <is>
          <t>Status</t>
        </is>
      </c>
      <c r="H4" s="7" t="inlineStr">
        <is>
          <t>Catatan</t>
        </is>
      </c>
    </row>
    <row r="5">
      <c r="A5" s="8" t="n">
        <v>1</v>
      </c>
      <c r="B5" s="9" t="inlineStr">
        <is>
          <t>Masuk, akun, dan kata sandi</t>
        </is>
      </c>
      <c r="C5" s="9" t="inlineStr">
        <is>
          <t>Masuk dengan email dan kata sandi</t>
        </is>
      </c>
      <c r="D5" s="9" t="inlineStr">
        <is>
          <t>Halaman /login</t>
        </is>
      </c>
      <c r="E5" s="9" t="inlineStr">
        <is>
          <t>Semua</t>
        </is>
      </c>
      <c r="F5" s="9" t="inlineStr">
        <is>
          <t>Masuk berhasil dan menu hanya menampilkan departemen yang boleh dibuka perannya.</t>
        </is>
      </c>
      <c r="G5" s="8" t="inlineStr">
        <is>
          <t>Belum</t>
        </is>
      </c>
      <c r="H5" s="9" t="n"/>
    </row>
    <row r="6">
      <c r="A6" s="10" t="n">
        <v>2</v>
      </c>
      <c r="B6" s="11" t="inlineStr">
        <is>
          <t>Masuk, akun, dan kata sandi</t>
        </is>
      </c>
      <c r="C6" s="11" t="inlineStr">
        <is>
          <t>Lupa kata sandi</t>
        </is>
      </c>
      <c r="D6" s="11" t="inlineStr">
        <is>
          <t>Login → Lupa kata sandi?</t>
        </is>
      </c>
      <c r="E6" s="11" t="inlineStr">
        <is>
          <t>Semua</t>
        </is>
      </c>
      <c r="F6" s="11" t="inlineStr">
        <is>
          <t>Tautan datang lewat email, berlaku sekali, dan kata sandi baru bisa dipakai masuk. Sesi lain berakhir.</t>
        </is>
      </c>
      <c r="G6" s="10" t="inlineStr">
        <is>
          <t>Belum</t>
        </is>
      </c>
      <c r="H6" s="11" t="n"/>
    </row>
    <row r="7">
      <c r="A7" s="8" t="n">
        <v>3</v>
      </c>
      <c r="B7" s="9" t="inlineStr">
        <is>
          <t>Masuk, akun, dan kata sandi</t>
        </is>
      </c>
      <c r="C7" s="9" t="inlineStr">
        <is>
          <t>Ganti kata sandi setelah direset admin</t>
        </is>
      </c>
      <c r="D7" s="9" t="inlineStr">
        <is>
          <t>Akun baru atau yang direset admin</t>
        </is>
      </c>
      <c r="E7" s="9" t="inlineStr">
        <is>
          <t>Akun baru</t>
        </is>
      </c>
      <c r="F7" s="9" t="inlineStr">
        <is>
          <t>Diarahkan ke halaman keamanan dan tidak bisa membuka menu lain sebelum mengganti.</t>
        </is>
      </c>
      <c r="G7" s="8" t="inlineStr">
        <is>
          <t>Belum</t>
        </is>
      </c>
      <c r="H7" s="9" t="n"/>
    </row>
    <row r="8">
      <c r="A8" s="10" t="n">
        <v>4</v>
      </c>
      <c r="B8" s="11" t="inlineStr">
        <is>
          <t>Masuk, akun, dan kata sandi</t>
        </is>
      </c>
      <c r="C8" s="11" t="inlineStr">
        <is>
          <t>Verifikasi dua langkah</t>
        </is>
      </c>
      <c r="D8" s="11" t="inlineStr">
        <is>
          <t>Keamanan akun</t>
        </is>
      </c>
      <c r="E8" s="11" t="inlineStr">
        <is>
          <t>Peran yang wajib</t>
        </is>
      </c>
      <c r="F8" s="11" t="inlineStr">
        <is>
          <t>Pasang di aplikasi autentikator, lalu masuk dengan kode.</t>
        </is>
      </c>
      <c r="G8" s="10" t="inlineStr">
        <is>
          <t>Belum</t>
        </is>
      </c>
      <c r="H8" s="11" t="n"/>
    </row>
    <row r="9">
      <c r="A9" s="8" t="n">
        <v>5</v>
      </c>
      <c r="B9" s="9" t="inlineStr">
        <is>
          <t>Masuk, akun, dan kata sandi</t>
        </is>
      </c>
      <c r="C9" s="9" t="inlineStr">
        <is>
          <t>Keluar dan daftar sesi perangkat</t>
        </is>
      </c>
      <c r="D9" s="9" t="inlineStr">
        <is>
          <t>Keamanan akun</t>
        </is>
      </c>
      <c r="E9" s="9" t="inlineStr">
        <is>
          <t>Semua</t>
        </is>
      </c>
      <c r="F9" s="9" t="inlineStr">
        <is>
          <t>Sesi perangkat lain bisa diakhiri dari daftar.</t>
        </is>
      </c>
      <c r="G9" s="8" t="inlineStr">
        <is>
          <t>Belum</t>
        </is>
      </c>
      <c r="H9" s="9" t="n"/>
    </row>
    <row r="10">
      <c r="A10" s="10" t="n">
        <v>6</v>
      </c>
      <c r="B10" s="11" t="inlineStr">
        <is>
          <t>Masuk, akun, dan kata sandi</t>
        </is>
      </c>
      <c r="C10" s="11" t="inlineStr">
        <is>
          <t>Ganti bahasa Indonesia dan Inggris</t>
        </is>
      </c>
      <c r="D10" s="11" t="inlineStr">
        <is>
          <t>Tombol bahasa di header</t>
        </is>
      </c>
      <c r="E10" s="11" t="inlineStr">
        <is>
          <t>Semua</t>
        </is>
      </c>
      <c r="F10" s="11" t="inlineStr">
        <is>
          <t>Semua teks berubah, tidak ada teks mentah seperti kode.</t>
        </is>
      </c>
      <c r="G10" s="10" t="inlineStr">
        <is>
          <t>Belum</t>
        </is>
      </c>
      <c r="H10" s="11" t="n"/>
    </row>
    <row r="11">
      <c r="A11" s="8" t="n">
        <v>7</v>
      </c>
      <c r="B11" s="9" t="inlineStr">
        <is>
          <t>Masuk, akun, dan kata sandi</t>
        </is>
      </c>
      <c r="C11" s="9" t="inlineStr">
        <is>
          <t>Menu di HP</t>
        </is>
      </c>
      <c r="D11" s="9" t="inlineStr">
        <is>
          <t>Tombol menu di kiri atas</t>
        </is>
      </c>
      <c r="E11" s="9" t="inlineStr">
        <is>
          <t>Semua</t>
        </is>
      </c>
      <c r="F11" s="9" t="inlineStr">
        <is>
          <t>Menu terbuka sebagai laci, bisa digulir, dan modul bisa dibuka satu per satu.</t>
        </is>
      </c>
      <c r="G11" s="8" t="inlineStr">
        <is>
          <t>Belum</t>
        </is>
      </c>
      <c r="H11" s="9" t="n"/>
    </row>
    <row r="12">
      <c r="A12" s="10" t="n">
        <v>8</v>
      </c>
      <c r="B12" s="11" t="inlineStr">
        <is>
          <t>Setup awal properti</t>
        </is>
      </c>
      <c r="C12" s="11" t="inlineStr">
        <is>
          <t>Daftar langkah pertama (Setup)</t>
        </is>
      </c>
      <c r="D12" s="11" t="inlineStr">
        <is>
          <t>Pengaturan properti → Setup awal</t>
        </is>
      </c>
      <c r="E12" s="11" t="inlineStr">
        <is>
          <t>Administrator</t>
        </is>
      </c>
      <c r="F12" s="11" t="inlineStr">
        <is>
          <t>Daftar langkah tampil, tiap langkah menunjukkan sudah atau belum, dan tautannya benar.</t>
        </is>
      </c>
      <c r="G12" s="10" t="inlineStr">
        <is>
          <t>Belum</t>
        </is>
      </c>
      <c r="H12" s="11" t="n"/>
    </row>
    <row r="13">
      <c r="A13" s="8" t="n">
        <v>9</v>
      </c>
      <c r="B13" s="9" t="inlineStr">
        <is>
          <t>Setup awal properti</t>
        </is>
      </c>
      <c r="C13" s="9" t="inlineStr">
        <is>
          <t>Pilih profil: hotel, resor kecil, villa</t>
        </is>
      </c>
      <c r="D13" s="9" t="inlineStr">
        <is>
          <t>Setup → Cara properti bekerja</t>
        </is>
      </c>
      <c r="E13" s="9" t="inlineStr">
        <is>
          <t>Administrator</t>
        </is>
      </c>
      <c r="F13" s="9" t="inlineStr">
        <is>
          <t>Departemen yang tidak dipakai hilang dari menu dan daftar langkah.</t>
        </is>
      </c>
      <c r="G13" s="8" t="inlineStr">
        <is>
          <t>Belum</t>
        </is>
      </c>
      <c r="H13" s="9" t="n"/>
    </row>
    <row r="14">
      <c r="A14" s="10" t="n">
        <v>10</v>
      </c>
      <c r="B14" s="11" t="inlineStr">
        <is>
          <t>Setup awal properti</t>
        </is>
      </c>
      <c r="C14" s="11" t="inlineStr">
        <is>
          <t>Impor kamar dari CSV</t>
        </is>
      </c>
      <c r="D14" s="11" t="inlineStr">
        <is>
          <t>Properti → Kamar → Impor dari berkas</t>
        </is>
      </c>
      <c r="E14" s="11" t="inlineStr">
        <is>
          <t>Administrator</t>
        </is>
      </c>
      <c r="F14" s="11" t="inlineStr">
        <is>
          <t>Periksa berkas tidak mengubah apa pun. Berkas salah menampilkan nomor baris. Impor benar menambah kamar.</t>
        </is>
      </c>
      <c r="G14" s="10" t="inlineStr">
        <is>
          <t>Belum</t>
        </is>
      </c>
      <c r="H14" s="11" t="n"/>
    </row>
    <row r="15">
      <c r="A15" s="8" t="n">
        <v>11</v>
      </c>
      <c r="B15" s="9" t="inlineStr">
        <is>
          <t>Setup awal properti</t>
        </is>
      </c>
      <c r="C15" s="9" t="inlineStr">
        <is>
          <t>Pengaturan: zona waktu, mata uang, tanggal bisnis</t>
        </is>
      </c>
      <c r="D15" s="9" t="inlineStr">
        <is>
          <t>Properti → Pengaturan</t>
        </is>
      </c>
      <c r="E15" s="9" t="inlineStr">
        <is>
          <t>Administrator</t>
        </is>
      </c>
      <c r="F15" s="9" t="inlineStr">
        <is>
          <t>Tersimpan dan tampil di header.</t>
        </is>
      </c>
      <c r="G15" s="8" t="inlineStr">
        <is>
          <t>Belum</t>
        </is>
      </c>
      <c r="H15" s="9" t="n"/>
    </row>
    <row r="16">
      <c r="A16" s="10" t="n">
        <v>12</v>
      </c>
      <c r="B16" s="11" t="inlineStr">
        <is>
          <t>Setup awal properti</t>
        </is>
      </c>
      <c r="C16" s="11" t="inlineStr">
        <is>
          <t>Tarif dan pajak</t>
        </is>
      </c>
      <c r="D16" s="11" t="inlineStr">
        <is>
          <t>Properti → Tarif, Pajak</t>
        </is>
      </c>
      <c r="E16" s="11" t="inlineStr">
        <is>
          <t>Administrator</t>
        </is>
      </c>
      <c r="F16" s="11" t="inlineStr">
        <is>
          <t>Tarif kamar tersimpan. Tarif pajak dan service charge diisi sesuai keputusan Finance.</t>
        </is>
      </c>
      <c r="G16" s="10" t="inlineStr">
        <is>
          <t>Belum</t>
        </is>
      </c>
      <c r="H16" s="11" t="n"/>
    </row>
    <row r="17">
      <c r="A17" s="8" t="n">
        <v>13</v>
      </c>
      <c r="B17" s="9" t="inlineStr">
        <is>
          <t>Setup awal properti</t>
        </is>
      </c>
      <c r="C17" s="9" t="inlineStr">
        <is>
          <t>Kebijakan pemesanan</t>
        </is>
      </c>
      <c r="D17" s="9" t="inlineStr">
        <is>
          <t>Properti → Kebijakan</t>
        </is>
      </c>
      <c r="E17" s="9" t="inlineStr">
        <is>
          <t>Administrator</t>
        </is>
      </c>
      <c r="F17" s="9" t="inlineStr">
        <is>
          <t>Aturan pembatalan dan jaminan tersimpan.</t>
        </is>
      </c>
      <c r="G17" s="8" t="inlineStr">
        <is>
          <t>Belum</t>
        </is>
      </c>
      <c r="H17" s="9" t="n"/>
    </row>
    <row r="18">
      <c r="A18" s="10" t="n">
        <v>14</v>
      </c>
      <c r="B18" s="11" t="inlineStr">
        <is>
          <t>Setup awal properti</t>
        </is>
      </c>
      <c r="C18" s="11" t="inlineStr">
        <is>
          <t>Layar Status sistem</t>
        </is>
      </c>
      <c r="D18" s="11" t="inlineStr">
        <is>
          <t>Properti → Status sistem</t>
        </is>
      </c>
      <c r="E18" s="11" t="inlineStr">
        <is>
          <t>Administrator</t>
        </is>
      </c>
      <c r="F18" s="11" t="inlineStr">
        <is>
          <t>Pemeriksaan sistem, cadangan terakhir, dan status email tampil. Peringatan muncul bila email belum terkirim.</t>
        </is>
      </c>
      <c r="G18" s="10" t="inlineStr">
        <is>
          <t>Belum</t>
        </is>
      </c>
      <c r="H18" s="11" t="n"/>
    </row>
    <row r="19">
      <c r="A19" s="8" t="n">
        <v>15</v>
      </c>
      <c r="B19" s="9" t="inlineStr">
        <is>
          <t>Pengguna, peran, dan persetujuan</t>
        </is>
      </c>
      <c r="C19" s="9" t="inlineStr">
        <is>
          <t>Tambah satu pengguna</t>
        </is>
      </c>
      <c r="D19" s="9" t="inlineStr">
        <is>
          <t>Akses → Pengguna → Tambah</t>
        </is>
      </c>
      <c r="E19" s="9" t="inlineStr">
        <is>
          <t>Administrator</t>
        </is>
      </c>
      <c r="F19" s="9" t="inlineStr">
        <is>
          <t>Kata sandi sementara tampil sekali. Email yang sama ditolak.</t>
        </is>
      </c>
      <c r="G19" s="8" t="inlineStr">
        <is>
          <t>Belum</t>
        </is>
      </c>
      <c r="H19" s="9" t="n"/>
    </row>
    <row r="20">
      <c r="A20" s="10" t="n">
        <v>16</v>
      </c>
      <c r="B20" s="11" t="inlineStr">
        <is>
          <t>Pengguna, peran, dan persetujuan</t>
        </is>
      </c>
      <c r="C20" s="11" t="inlineStr">
        <is>
          <t>Tambah beberapa pengguna sekaligus</t>
        </is>
      </c>
      <c r="D20" s="11" t="inlineStr">
        <is>
          <t>Pengguna → Tambah beberapa</t>
        </is>
      </c>
      <c r="E20" s="11" t="inlineStr">
        <is>
          <t>Administrator</t>
        </is>
      </c>
      <c r="F20" s="11" t="inlineStr">
        <is>
          <t>Satu orang per baris, semua mendapat peran yang dipilih. Satu baris salah menolak semuanya.</t>
        </is>
      </c>
      <c r="G20" s="10" t="inlineStr">
        <is>
          <t>Belum</t>
        </is>
      </c>
      <c r="H20" s="11" t="n"/>
    </row>
    <row r="21">
      <c r="A21" s="8" t="n">
        <v>17</v>
      </c>
      <c r="B21" s="9" t="inlineStr">
        <is>
          <t>Pengguna, peran, dan persetujuan</t>
        </is>
      </c>
      <c r="C21" s="9" t="inlineStr">
        <is>
          <t>Beri dan cabut peran</t>
        </is>
      </c>
      <c r="D21" s="9" t="inlineStr">
        <is>
          <t>Pengguna → Peran</t>
        </is>
      </c>
      <c r="E21" s="9" t="inlineStr">
        <is>
          <t>Administrator</t>
        </is>
      </c>
      <c r="F21" s="9" t="inlineStr">
        <is>
          <t>Pemilih peran punya kotak cari dan bisa digulir. Tidak bisa mengubah peran diri sendiri.</t>
        </is>
      </c>
      <c r="G21" s="8" t="inlineStr">
        <is>
          <t>Belum</t>
        </is>
      </c>
      <c r="H21" s="9" t="n"/>
    </row>
    <row r="22">
      <c r="A22" s="10" t="n">
        <v>18</v>
      </c>
      <c r="B22" s="11" t="inlineStr">
        <is>
          <t>Pengguna, peran, dan persetujuan</t>
        </is>
      </c>
      <c r="C22" s="11" t="inlineStr">
        <is>
          <t>Nonaktifkan dan reset kata sandi</t>
        </is>
      </c>
      <c r="D22" s="11" t="inlineStr">
        <is>
          <t>Pengguna</t>
        </is>
      </c>
      <c r="E22" s="11" t="inlineStr">
        <is>
          <t>Administrator</t>
        </is>
      </c>
      <c r="F22" s="11" t="inlineStr">
        <is>
          <t>Akun nonaktif langsung tidak bisa masuk dan sesinya berakhir.</t>
        </is>
      </c>
      <c r="G22" s="10" t="inlineStr">
        <is>
          <t>Belum</t>
        </is>
      </c>
      <c r="H22" s="11" t="n"/>
    </row>
    <row r="23">
      <c r="A23" s="8" t="n">
        <v>19</v>
      </c>
      <c r="B23" s="9" t="inlineStr">
        <is>
          <t>Pengguna, peran, dan persetujuan</t>
        </is>
      </c>
      <c r="C23" s="9" t="inlineStr">
        <is>
          <t>19 peran bawaan</t>
        </is>
      </c>
      <c r="D23" s="9" t="inlineStr">
        <is>
          <t>Akses → Peran</t>
        </is>
      </c>
      <c r="E23" s="9" t="inlineStr">
        <is>
          <t>Administrator</t>
        </is>
      </c>
      <c r="F23" s="9" t="inlineStr">
        <is>
          <t>Peran bawaan sudah ada dan bisa diubah.</t>
        </is>
      </c>
      <c r="G23" s="8" t="inlineStr">
        <is>
          <t>Belum</t>
        </is>
      </c>
      <c r="H23" s="9" t="n"/>
    </row>
    <row r="24">
      <c r="A24" s="10" t="n">
        <v>20</v>
      </c>
      <c r="B24" s="11" t="inlineStr">
        <is>
          <t>Pengguna, peran, dan persetujuan</t>
        </is>
      </c>
      <c r="C24" s="11" t="inlineStr">
        <is>
          <t>Buat peran baru</t>
        </is>
      </c>
      <c r="D24" s="11" t="inlineStr">
        <is>
          <t>Akses → Peran</t>
        </is>
      </c>
      <c r="E24" s="11" t="inlineStr">
        <is>
          <t>Administrator</t>
        </is>
      </c>
      <c r="F24" s="11" t="inlineStr">
        <is>
          <t>Tidak bisa memberi izin yang tidak dimiliki pembuatnya.</t>
        </is>
      </c>
      <c r="G24" s="10" t="inlineStr">
        <is>
          <t>Belum</t>
        </is>
      </c>
      <c r="H24" s="11" t="n"/>
    </row>
    <row r="25">
      <c r="A25" s="8" t="n">
        <v>21</v>
      </c>
      <c r="B25" s="9" t="inlineStr">
        <is>
          <t>Pengguna, peran, dan persetujuan</t>
        </is>
      </c>
      <c r="C25" s="9" t="inlineStr">
        <is>
          <t>Kebijakan persetujuan</t>
        </is>
      </c>
      <c r="D25" s="9" t="inlineStr">
        <is>
          <t>Persetujuan → Kebijakan</t>
        </is>
      </c>
      <c r="E25" s="9" t="inlineStr">
        <is>
          <t>Administrator</t>
        </is>
      </c>
      <c r="F25" s="9" t="inlineStr">
        <is>
          <t>Setiap tindakan penting punya penyetuju. Ada minimal dua orang yang bisa menyetujui.</t>
        </is>
      </c>
      <c r="G25" s="8" t="inlineStr">
        <is>
          <t>Belum</t>
        </is>
      </c>
      <c r="H25" s="9" t="n"/>
    </row>
    <row r="26">
      <c r="A26" s="10" t="n">
        <v>22</v>
      </c>
      <c r="B26" s="11" t="inlineStr">
        <is>
          <t>Pengguna, peran, dan persetujuan</t>
        </is>
      </c>
      <c r="C26" s="11" t="inlineStr">
        <is>
          <t>Pembuat tidak bisa menyetujui sendiri</t>
        </is>
      </c>
      <c r="D26" s="11" t="inlineStr">
        <is>
          <t>Persetujuan</t>
        </is>
      </c>
      <c r="E26" s="11" t="inlineStr">
        <is>
          <t>Dua orang</t>
        </is>
      </c>
      <c r="F26" s="11" t="inlineStr">
        <is>
          <t>Orang yang membuat permintaan tidak bisa menyetujuinya. Orang kedua bisa.</t>
        </is>
      </c>
      <c r="G26" s="10" t="inlineStr">
        <is>
          <t>Belum</t>
        </is>
      </c>
      <c r="H26" s="11" t="n"/>
    </row>
    <row r="27">
      <c r="A27" s="8" t="n">
        <v>23</v>
      </c>
      <c r="B27" s="9" t="inlineStr">
        <is>
          <t>Pengguna, peran, dan persetujuan</t>
        </is>
      </c>
      <c r="C27" s="9" t="inlineStr">
        <is>
          <t>Lencana persetujuan menunggu</t>
        </is>
      </c>
      <c r="D27" s="9" t="inlineStr">
        <is>
          <t>Header</t>
        </is>
      </c>
      <c r="E27" s="9" t="inlineStr">
        <is>
          <t>Penyetuju</t>
        </is>
      </c>
      <c r="F27" s="9" t="inlineStr">
        <is>
          <t>Angka di header sesuai jumlah permintaan yang menunggu (bisa tertunda sampai 1 menit).</t>
        </is>
      </c>
      <c r="G27" s="8" t="inlineStr">
        <is>
          <t>Belum</t>
        </is>
      </c>
      <c r="H27" s="9" t="n"/>
    </row>
    <row r="28">
      <c r="A28" s="10" t="n">
        <v>24</v>
      </c>
      <c r="B28" s="11" t="inlineStr">
        <is>
          <t>Front Office</t>
        </is>
      </c>
      <c r="C28" s="11" t="inlineStr">
        <is>
          <t>Papan kamar</t>
        </is>
      </c>
      <c r="D28" s="11" t="inlineStr">
        <is>
          <t>Front Office → Papan kamar</t>
        </is>
      </c>
      <c r="E28" s="11" t="inlineStr">
        <is>
          <t>Resepsionis</t>
        </is>
      </c>
      <c r="F28" s="11" t="inlineStr">
        <is>
          <t>Status kamar tampil dan sesuai kenyataan.</t>
        </is>
      </c>
      <c r="G28" s="10" t="inlineStr">
        <is>
          <t>Belum</t>
        </is>
      </c>
      <c r="H28" s="11" t="n"/>
    </row>
    <row r="29">
      <c r="A29" s="8" t="n">
        <v>25</v>
      </c>
      <c r="B29" s="9" t="inlineStr">
        <is>
          <t>Front Office</t>
        </is>
      </c>
      <c r="C29" s="9" t="inlineStr">
        <is>
          <t>Cek ketersediaan</t>
        </is>
      </c>
      <c r="D29" s="9" t="inlineStr">
        <is>
          <t>Front Office → Ketersediaan</t>
        </is>
      </c>
      <c r="E29" s="9" t="inlineStr">
        <is>
          <t>Resepsionis</t>
        </is>
      </c>
      <c r="F29" s="9" t="inlineStr">
        <is>
          <t>Tanggal dan tipe kamar menampilkan sisa kamar yang benar.</t>
        </is>
      </c>
      <c r="G29" s="8" t="inlineStr">
        <is>
          <t>Belum</t>
        </is>
      </c>
      <c r="H29" s="9" t="n"/>
    </row>
    <row r="30">
      <c r="A30" s="10" t="n">
        <v>26</v>
      </c>
      <c r="B30" s="11" t="inlineStr">
        <is>
          <t>Front Office</t>
        </is>
      </c>
      <c r="C30" s="11" t="inlineStr">
        <is>
          <t>Buat reservasi</t>
        </is>
      </c>
      <c r="D30" s="11" t="inlineStr">
        <is>
          <t>Front Office → Reservasi</t>
        </is>
      </c>
      <c r="E30" s="11" t="inlineStr">
        <is>
          <t>Resepsionis</t>
        </is>
      </c>
      <c r="F30" s="11" t="inlineStr">
        <is>
          <t>Reservasi tersimpan. Tanggal bentrok atau kamar penuh ditolak dengan alasan.</t>
        </is>
      </c>
      <c r="G30" s="10" t="inlineStr">
        <is>
          <t>Belum</t>
        </is>
      </c>
      <c r="H30" s="11" t="n"/>
    </row>
    <row r="31">
      <c r="A31" s="8" t="n">
        <v>27</v>
      </c>
      <c r="B31" s="9" t="inlineStr">
        <is>
          <t>Front Office</t>
        </is>
      </c>
      <c r="C31" s="9" t="inlineStr">
        <is>
          <t>Cek-in tamu</t>
        </is>
      </c>
      <c r="D31" s="9" t="inlineStr">
        <is>
          <t>Reservasi → Cek-in</t>
        </is>
      </c>
      <c r="E31" s="9" t="inlineStr">
        <is>
          <t>Resepsionis</t>
        </is>
      </c>
      <c r="F31" s="9" t="inlineStr">
        <is>
          <t>Kamar dipilih, folio terbuka, status kamar menjadi terisi.</t>
        </is>
      </c>
      <c r="G31" s="8" t="inlineStr">
        <is>
          <t>Belum</t>
        </is>
      </c>
      <c r="H31" s="9" t="n"/>
    </row>
    <row r="32">
      <c r="A32" s="10" t="n">
        <v>28</v>
      </c>
      <c r="B32" s="11" t="inlineStr">
        <is>
          <t>Front Office</t>
        </is>
      </c>
      <c r="C32" s="11" t="inlineStr">
        <is>
          <t>Tambah biaya ke folio</t>
        </is>
      </c>
      <c r="D32" s="11" t="inlineStr">
        <is>
          <t>Folio</t>
        </is>
      </c>
      <c r="E32" s="11" t="inlineStr">
        <is>
          <t>Resepsionis</t>
        </is>
      </c>
      <c r="F32" s="11" t="inlineStr">
        <is>
          <t>Biaya muncul dengan pajak dan service charge sesuai pengaturan.</t>
        </is>
      </c>
      <c r="G32" s="10" t="inlineStr">
        <is>
          <t>Belum</t>
        </is>
      </c>
      <c r="H32" s="11" t="n"/>
    </row>
    <row r="33">
      <c r="A33" s="8" t="n">
        <v>29</v>
      </c>
      <c r="B33" s="9" t="inlineStr">
        <is>
          <t>Front Office</t>
        </is>
      </c>
      <c r="C33" s="9" t="inlineStr">
        <is>
          <t>Terima pembayaran</t>
        </is>
      </c>
      <c r="D33" s="9" t="inlineStr">
        <is>
          <t>Folio</t>
        </is>
      </c>
      <c r="E33" s="9" t="inlineStr">
        <is>
          <t>Kasir</t>
        </is>
      </c>
      <c r="F33" s="9" t="inlineStr">
        <is>
          <t>Pembayaran tercatat, saldo berkurang.</t>
        </is>
      </c>
      <c r="G33" s="8" t="inlineStr">
        <is>
          <t>Belum</t>
        </is>
      </c>
      <c r="H33" s="9" t="n"/>
    </row>
    <row r="34">
      <c r="A34" s="10" t="n">
        <v>30</v>
      </c>
      <c r="B34" s="11" t="inlineStr">
        <is>
          <t>Front Office</t>
        </is>
      </c>
      <c r="C34" s="11" t="inlineStr">
        <is>
          <t>Cetak tagihan tamu</t>
        </is>
      </c>
      <c r="D34" s="11" t="inlineStr">
        <is>
          <t>Folio → Tagihan</t>
        </is>
      </c>
      <c r="E34" s="11" t="inlineStr">
        <is>
          <t>Resepsionis</t>
        </is>
      </c>
      <c r="F34" s="11" t="inlineStr">
        <is>
          <t>Tagihan tercetak atau bisa disimpan sebagai PDF dari browser.</t>
        </is>
      </c>
      <c r="G34" s="10" t="inlineStr">
        <is>
          <t>Belum</t>
        </is>
      </c>
      <c r="H34" s="11" t="n"/>
    </row>
    <row r="35">
      <c r="A35" s="8" t="n">
        <v>31</v>
      </c>
      <c r="B35" s="9" t="inlineStr">
        <is>
          <t>Front Office</t>
        </is>
      </c>
      <c r="C35" s="9" t="inlineStr">
        <is>
          <t>Pindah kamar</t>
        </is>
      </c>
      <c r="D35" s="9" t="inlineStr">
        <is>
          <t>Menginap</t>
        </is>
      </c>
      <c r="E35" s="9" t="inlineStr">
        <is>
          <t>Resepsionis</t>
        </is>
      </c>
      <c r="F35" s="9" t="inlineStr">
        <is>
          <t>Kamar lama menjadi kotor, kamar baru terisi, folio ikut.</t>
        </is>
      </c>
      <c r="G35" s="8" t="inlineStr">
        <is>
          <t>Belum</t>
        </is>
      </c>
      <c r="H35" s="9" t="n"/>
    </row>
    <row r="36">
      <c r="A36" s="10" t="n">
        <v>32</v>
      </c>
      <c r="B36" s="11" t="inlineStr">
        <is>
          <t>Front Office</t>
        </is>
      </c>
      <c r="C36" s="11" t="inlineStr">
        <is>
          <t>Cek-out</t>
        </is>
      </c>
      <c r="D36" s="11" t="inlineStr">
        <is>
          <t>Folio</t>
        </is>
      </c>
      <c r="E36" s="11" t="inlineStr">
        <is>
          <t>Resepsionis</t>
        </is>
      </c>
      <c r="F36" s="11" t="inlineStr">
        <is>
          <t>Saldo harus nol. Kamar menjadi kotor dan masuk antrean housekeeping.</t>
        </is>
      </c>
      <c r="G36" s="10" t="inlineStr">
        <is>
          <t>Belum</t>
        </is>
      </c>
      <c r="H36" s="11" t="n"/>
    </row>
    <row r="37">
      <c r="A37" s="8" t="n">
        <v>33</v>
      </c>
      <c r="B37" s="9" t="inlineStr">
        <is>
          <t>Front Office</t>
        </is>
      </c>
      <c r="C37" s="9" t="inlineStr">
        <is>
          <t>Permintaan tamu dan masukan</t>
        </is>
      </c>
      <c r="D37" s="9" t="inlineStr">
        <is>
          <t>Permintaan, Masukan</t>
        </is>
      </c>
      <c r="E37" s="9" t="inlineStr">
        <is>
          <t>Resepsionis</t>
        </is>
      </c>
      <c r="F37" s="9" t="inlineStr">
        <is>
          <t>Permintaan dicatat dan bisa diselesaikan.</t>
        </is>
      </c>
      <c r="G37" s="8" t="inlineStr">
        <is>
          <t>Belum</t>
        </is>
      </c>
      <c r="H37" s="9" t="n"/>
    </row>
    <row r="38">
      <c r="A38" s="10" t="n">
        <v>34</v>
      </c>
      <c r="B38" s="11" t="inlineStr">
        <is>
          <t>Front Office</t>
        </is>
      </c>
      <c r="C38" s="11" t="inlineStr">
        <is>
          <t>Buku catatan serah terima shift</t>
        </is>
      </c>
      <c r="D38" s="11" t="inlineStr">
        <is>
          <t>Buku catatan</t>
        </is>
      </c>
      <c r="E38" s="11" t="inlineStr">
        <is>
          <t>Resepsionis</t>
        </is>
      </c>
      <c r="F38" s="11" t="inlineStr">
        <is>
          <t>Catatan tersimpan dan terbaca shift berikutnya.</t>
        </is>
      </c>
      <c r="G38" s="10" t="inlineStr">
        <is>
          <t>Belum</t>
        </is>
      </c>
      <c r="H38" s="11" t="n"/>
    </row>
    <row r="39">
      <c r="A39" s="8" t="n">
        <v>35</v>
      </c>
      <c r="B39" s="9" t="inlineStr">
        <is>
          <t>Front Office</t>
        </is>
      </c>
      <c r="C39" s="9" t="inlineStr">
        <is>
          <t>Shift kasir dan rekonsiliasi</t>
        </is>
      </c>
      <c r="D39" s="9" t="inlineStr">
        <is>
          <t>Kasir</t>
        </is>
      </c>
      <c r="E39" s="9" t="inlineStr">
        <is>
          <t>Kasir</t>
        </is>
      </c>
      <c r="F39" s="9" t="inlineStr">
        <is>
          <t>Buka dan tutup shift, selisih kas tercatat.</t>
        </is>
      </c>
      <c r="G39" s="8" t="inlineStr">
        <is>
          <t>Belum</t>
        </is>
      </c>
      <c r="H39" s="9" t="n"/>
    </row>
    <row r="40">
      <c r="A40" s="10" t="n">
        <v>36</v>
      </c>
      <c r="B40" s="11" t="inlineStr">
        <is>
          <t>Front Office</t>
        </is>
      </c>
      <c r="C40" s="11" t="inlineStr">
        <is>
          <t>Grup dan perusahaan</t>
        </is>
      </c>
      <c r="D40" s="11" t="inlineStr">
        <is>
          <t>Grup, Perusahaan</t>
        </is>
      </c>
      <c r="E40" s="11" t="inlineStr">
        <is>
          <t>Resepsionis</t>
        </is>
      </c>
      <c r="F40" s="11" t="inlineStr">
        <is>
          <t>Blok grup dan tagihan perusahaan bisa dibuat.</t>
        </is>
      </c>
      <c r="G40" s="10" t="inlineStr">
        <is>
          <t>Belum</t>
        </is>
      </c>
      <c r="H40" s="11" t="n"/>
    </row>
    <row r="41">
      <c r="A41" s="8" t="n">
        <v>37</v>
      </c>
      <c r="B41" s="9" t="inlineStr">
        <is>
          <t>Front Office</t>
        </is>
      </c>
      <c r="C41" s="9" t="inlineStr">
        <is>
          <t>Audit malam</t>
        </is>
      </c>
      <c r="D41" s="9" t="inlineStr">
        <is>
          <t>Audit malam</t>
        </is>
      </c>
      <c r="E41" s="9" t="inlineStr">
        <is>
          <t>Manajer</t>
        </is>
      </c>
      <c r="F41" s="9" t="inlineStr">
        <is>
          <t>Tanggal bisnis maju, pendapatan harian terposting, tidak bisa dijalankan dua kali.</t>
        </is>
      </c>
      <c r="G41" s="8" t="inlineStr">
        <is>
          <t>Belum</t>
        </is>
      </c>
      <c r="H41" s="9" t="n"/>
    </row>
    <row r="42">
      <c r="A42" s="10" t="n">
        <v>38</v>
      </c>
      <c r="B42" s="11" t="inlineStr">
        <is>
          <t>Housekeeping dan Binatu</t>
        </is>
      </c>
      <c r="C42" s="11" t="inlineStr">
        <is>
          <t>Kamar saya hari ini</t>
        </is>
      </c>
      <c r="D42" s="11" t="inlineStr">
        <is>
          <t>Housekeeping → Kamar saya</t>
        </is>
      </c>
      <c r="E42" s="11" t="inlineStr">
        <is>
          <t>Tata graha</t>
        </is>
      </c>
      <c r="F42" s="11" t="inlineStr">
        <is>
          <t>Hanya kamar yang ditugaskan tampil.</t>
        </is>
      </c>
      <c r="G42" s="10" t="inlineStr">
        <is>
          <t>Belum</t>
        </is>
      </c>
      <c r="H42" s="11" t="n"/>
    </row>
    <row r="43">
      <c r="A43" s="8" t="n">
        <v>39</v>
      </c>
      <c r="B43" s="9" t="inlineStr">
        <is>
          <t>Housekeeping dan Binatu</t>
        </is>
      </c>
      <c r="C43" s="9" t="inlineStr">
        <is>
          <t>Papan housekeeping</t>
        </is>
      </c>
      <c r="D43" s="9" t="inlineStr">
        <is>
          <t>Housekeeping</t>
        </is>
      </c>
      <c r="E43" s="9" t="inlineStr">
        <is>
          <t>Supervisor</t>
        </is>
      </c>
      <c r="F43" s="9" t="inlineStr">
        <is>
          <t>Kamar kotor, bersih, dan siap dilihat; status bisa diubah.</t>
        </is>
      </c>
      <c r="G43" s="8" t="inlineStr">
        <is>
          <t>Belum</t>
        </is>
      </c>
      <c r="H43" s="9" t="n"/>
    </row>
    <row r="44">
      <c r="A44" s="10" t="n">
        <v>40</v>
      </c>
      <c r="B44" s="11" t="inlineStr">
        <is>
          <t>Housekeeping dan Binatu</t>
        </is>
      </c>
      <c r="C44" s="11" t="inlineStr">
        <is>
          <t>Daftar periksa kamar</t>
        </is>
      </c>
      <c r="D44" s="11" t="inlineStr">
        <is>
          <t>Housekeeping → Daftar periksa</t>
        </is>
      </c>
      <c r="E44" s="11" t="inlineStr">
        <is>
          <t>Tata graha</t>
        </is>
      </c>
      <c r="F44" s="11" t="inlineStr">
        <is>
          <t>Daftar diisi dan kamar ditandai bersih.</t>
        </is>
      </c>
      <c r="G44" s="10" t="inlineStr">
        <is>
          <t>Belum</t>
        </is>
      </c>
      <c r="H44" s="11" t="n"/>
    </row>
    <row r="45">
      <c r="A45" s="8" t="n">
        <v>41</v>
      </c>
      <c r="B45" s="9" t="inlineStr">
        <is>
          <t>Housekeeping dan Binatu</t>
        </is>
      </c>
      <c r="C45" s="9" t="inlineStr">
        <is>
          <t>Barang tertinggal</t>
        </is>
      </c>
      <c r="D45" s="9" t="inlineStr">
        <is>
          <t>Housekeeping → Barang tertinggal</t>
        </is>
      </c>
      <c r="E45" s="9" t="inlineStr">
        <is>
          <t>Tata graha</t>
        </is>
      </c>
      <c r="F45" s="9" t="inlineStr">
        <is>
          <t>Barang dicatat dengan kamar dan tanggal.</t>
        </is>
      </c>
      <c r="G45" s="8" t="inlineStr">
        <is>
          <t>Belum</t>
        </is>
      </c>
      <c r="H45" s="9" t="n"/>
    </row>
    <row r="46">
      <c r="A46" s="10" t="n">
        <v>42</v>
      </c>
      <c r="B46" s="11" t="inlineStr">
        <is>
          <t>Housekeeping dan Binatu</t>
        </is>
      </c>
      <c r="C46" s="11" t="inlineStr">
        <is>
          <t>Laporan kerusakan</t>
        </is>
      </c>
      <c r="D46" s="11" t="inlineStr">
        <is>
          <t>Housekeeping → Kerusakan</t>
        </is>
      </c>
      <c r="E46" s="11" t="inlineStr">
        <is>
          <t>Tata graha</t>
        </is>
      </c>
      <c r="F46" s="11" t="inlineStr">
        <is>
          <t>Laporan sampai ke perawatan.</t>
        </is>
      </c>
      <c r="G46" s="10" t="inlineStr">
        <is>
          <t>Belum</t>
        </is>
      </c>
      <c r="H46" s="11" t="n"/>
    </row>
    <row r="47">
      <c r="A47" s="8" t="n">
        <v>43</v>
      </c>
      <c r="B47" s="9" t="inlineStr">
        <is>
          <t>Housekeeping dan Binatu</t>
        </is>
      </c>
      <c r="C47" s="9" t="inlineStr">
        <is>
          <t>Linen dan par level</t>
        </is>
      </c>
      <c r="D47" s="9" t="inlineStr">
        <is>
          <t>Housekeeping → Linen</t>
        </is>
      </c>
      <c r="E47" s="9" t="inlineStr">
        <is>
          <t>Supervisor</t>
        </is>
      </c>
      <c r="F47" s="9" t="inlineStr">
        <is>
          <t>Stok linen dan par level bisa diubah.</t>
        </is>
      </c>
      <c r="G47" s="8" t="inlineStr">
        <is>
          <t>Belum</t>
        </is>
      </c>
      <c r="H47" s="9" t="n"/>
    </row>
    <row r="48">
      <c r="A48" s="10" t="n">
        <v>44</v>
      </c>
      <c r="B48" s="11" t="inlineStr">
        <is>
          <t>Housekeeping dan Binatu</t>
        </is>
      </c>
      <c r="C48" s="11" t="inlineStr">
        <is>
          <t>Antrean binatu dan order baru</t>
        </is>
      </c>
      <c r="D48" s="11" t="inlineStr">
        <is>
          <t>Binatu</t>
        </is>
      </c>
      <c r="E48" s="11" t="inlineStr">
        <is>
          <t>Binatu</t>
        </is>
      </c>
      <c r="F48" s="11" t="inlineStr">
        <is>
          <t>Order dibuat, diproses, dan diserahkan.</t>
        </is>
      </c>
      <c r="G48" s="10" t="inlineStr">
        <is>
          <t>Belum</t>
        </is>
      </c>
      <c r="H48" s="11" t="n"/>
    </row>
    <row r="49">
      <c r="A49" s="8" t="n">
        <v>45</v>
      </c>
      <c r="B49" s="9" t="inlineStr">
        <is>
          <t>Housekeeping dan Binatu</t>
        </is>
      </c>
      <c r="C49" s="9" t="inlineStr">
        <is>
          <t>Klaim dan harga binatu</t>
        </is>
      </c>
      <c r="D49" s="9" t="inlineStr">
        <is>
          <t>Binatu → Klaim, Harga</t>
        </is>
      </c>
      <c r="E49" s="9" t="inlineStr">
        <is>
          <t>Binatu</t>
        </is>
      </c>
      <c r="F49" s="9" t="inlineStr">
        <is>
          <t>Klaim tercatat, daftar harga tersimpan.</t>
        </is>
      </c>
      <c r="G49" s="8" t="inlineStr">
        <is>
          <t>Belum</t>
        </is>
      </c>
      <c r="H49" s="9" t="n"/>
    </row>
    <row r="50">
      <c r="A50" s="10" t="n">
        <v>46</v>
      </c>
      <c r="B50" s="11" t="inlineStr">
        <is>
          <t>F&amp;B dan Dapur</t>
        </is>
      </c>
      <c r="C50" s="11" t="inlineStr">
        <is>
          <t>Kasir restoran (POS)</t>
        </is>
      </c>
      <c r="D50" s="11" t="inlineStr">
        <is>
          <t>F&amp;B → POS</t>
        </is>
      </c>
      <c r="E50" s="11" t="inlineStr">
        <is>
          <t>Pelayan</t>
        </is>
      </c>
      <c r="F50" s="11" t="inlineStr">
        <is>
          <t>Buka meja, tambah dua menu, kirim ke dapur.</t>
        </is>
      </c>
      <c r="G50" s="10" t="inlineStr">
        <is>
          <t>Belum</t>
        </is>
      </c>
      <c r="H50" s="11" t="n"/>
    </row>
    <row r="51">
      <c r="A51" s="8" t="n">
        <v>47</v>
      </c>
      <c r="B51" s="9" t="inlineStr">
        <is>
          <t>F&amp;B dan Dapur</t>
        </is>
      </c>
      <c r="C51" s="9" t="inlineStr">
        <is>
          <t>Papan dapur</t>
        </is>
      </c>
      <c r="D51" s="9" t="inlineStr">
        <is>
          <t>Dapur</t>
        </is>
      </c>
      <c r="E51" s="9" t="inlineStr">
        <is>
          <t>Dapur</t>
        </is>
      </c>
      <c r="F51" s="9" t="inlineStr">
        <is>
          <t>Pesanan muncul, bisa ditandai sedang dibuat dan selesai.</t>
        </is>
      </c>
      <c r="G51" s="8" t="inlineStr">
        <is>
          <t>Belum</t>
        </is>
      </c>
      <c r="H51" s="9" t="n"/>
    </row>
    <row r="52">
      <c r="A52" s="10" t="n">
        <v>48</v>
      </c>
      <c r="B52" s="11" t="inlineStr">
        <is>
          <t>F&amp;B dan Dapur</t>
        </is>
      </c>
      <c r="C52" s="11" t="inlineStr">
        <is>
          <t>Bayar dan cetak struk</t>
        </is>
      </c>
      <c r="D52" s="11" t="inlineStr">
        <is>
          <t>F&amp;B → Tagihan</t>
        </is>
      </c>
      <c r="E52" s="11" t="inlineStr">
        <is>
          <t>Kasir</t>
        </is>
      </c>
      <c r="F52" s="11" t="inlineStr">
        <is>
          <t>Pembayaran tercatat dan struk tercetak (80 mm bila ada printer).</t>
        </is>
      </c>
      <c r="G52" s="10" t="inlineStr">
        <is>
          <t>Belum</t>
        </is>
      </c>
      <c r="H52" s="11" t="n"/>
    </row>
    <row r="53">
      <c r="A53" s="8" t="n">
        <v>49</v>
      </c>
      <c r="B53" s="9" t="inlineStr">
        <is>
          <t>F&amp;B dan Dapur</t>
        </is>
      </c>
      <c r="C53" s="9" t="inlineStr">
        <is>
          <t>Bebankan ke kamar</t>
        </is>
      </c>
      <c r="D53" s="9" t="inlineStr">
        <is>
          <t>F&amp;B</t>
        </is>
      </c>
      <c r="E53" s="9" t="inlineStr">
        <is>
          <t>Kasir</t>
        </is>
      </c>
      <c r="F53" s="9" t="inlineStr">
        <is>
          <t>Biaya masuk ke folio tamu yang menginap.</t>
        </is>
      </c>
      <c r="G53" s="8" t="inlineStr">
        <is>
          <t>Belum</t>
        </is>
      </c>
      <c r="H53" s="9" t="n"/>
    </row>
    <row r="54">
      <c r="A54" s="10" t="n">
        <v>50</v>
      </c>
      <c r="B54" s="11" t="inlineStr">
        <is>
          <t>F&amp;B dan Dapur</t>
        </is>
      </c>
      <c r="C54" s="11" t="inlineStr">
        <is>
          <t>Pesanan tamu lewat kode QR</t>
        </is>
      </c>
      <c r="D54" s="11" t="inlineStr">
        <is>
          <t>Pesanan tamu</t>
        </is>
      </c>
      <c r="E54" s="11" t="inlineStr">
        <is>
          <t>Tamu</t>
        </is>
      </c>
      <c r="F54" s="11" t="inlineStr">
        <is>
          <t>Tamu memindai kode, memesan, dan pesanan muncul di kasir.</t>
        </is>
      </c>
      <c r="G54" s="10" t="inlineStr">
        <is>
          <t>Belum</t>
        </is>
      </c>
      <c r="H54" s="11" t="n"/>
    </row>
    <row r="55">
      <c r="A55" s="8" t="n">
        <v>51</v>
      </c>
      <c r="B55" s="9" t="inlineStr">
        <is>
          <t>F&amp;B dan Dapur</t>
        </is>
      </c>
      <c r="C55" s="9" t="inlineStr">
        <is>
          <t>Impor menu dari CSV</t>
        </is>
      </c>
      <c r="D55" s="9" t="inlineStr">
        <is>
          <t>F&amp;B → Menu → Impor dari berkas</t>
        </is>
      </c>
      <c r="E55" s="9" t="inlineStr">
        <is>
          <t>Manajer F&amp;B</t>
        </is>
      </c>
      <c r="F55" s="9" t="inlineStr">
        <is>
          <t>Gerai dan kategori harus sudah ada. Baris salah menolak seluruh berkas.</t>
        </is>
      </c>
      <c r="G55" s="8" t="inlineStr">
        <is>
          <t>Belum</t>
        </is>
      </c>
      <c r="H55" s="9" t="n"/>
    </row>
    <row r="56">
      <c r="A56" s="10" t="n">
        <v>52</v>
      </c>
      <c r="B56" s="11" t="inlineStr">
        <is>
          <t>F&amp;B dan Dapur</t>
        </is>
      </c>
      <c r="C56" s="11" t="inlineStr">
        <is>
          <t>Gerai, menu, dan harga</t>
        </is>
      </c>
      <c r="D56" s="11" t="inlineStr">
        <is>
          <t>F&amp;B → Gerai, Menu, Harga</t>
        </is>
      </c>
      <c r="E56" s="11" t="inlineStr">
        <is>
          <t>Manajer F&amp;B</t>
        </is>
      </c>
      <c r="F56" s="11" t="inlineStr">
        <is>
          <t>Item bisa ditambah, diubah, dan ditandai habis.</t>
        </is>
      </c>
      <c r="G56" s="10" t="inlineStr">
        <is>
          <t>Belum</t>
        </is>
      </c>
      <c r="H56" s="11" t="n"/>
    </row>
    <row r="57">
      <c r="A57" s="8" t="n">
        <v>53</v>
      </c>
      <c r="B57" s="9" t="inlineStr">
        <is>
          <t>F&amp;B dan Dapur</t>
        </is>
      </c>
      <c r="C57" s="9" t="inlineStr">
        <is>
          <t>Layanan kamar dan minibar</t>
        </is>
      </c>
      <c r="D57" s="9" t="inlineStr">
        <is>
          <t>F&amp;B</t>
        </is>
      </c>
      <c r="E57" s="9" t="inlineStr">
        <is>
          <t>Pelayan</t>
        </is>
      </c>
      <c r="F57" s="9" t="inlineStr">
        <is>
          <t>Pesanan kamar dan pemakaian minibar tercatat.</t>
        </is>
      </c>
      <c r="G57" s="8" t="inlineStr">
        <is>
          <t>Belum</t>
        </is>
      </c>
      <c r="H57" s="9" t="n"/>
    </row>
    <row r="58">
      <c r="A58" s="10" t="n">
        <v>54</v>
      </c>
      <c r="B58" s="11" t="inlineStr">
        <is>
          <t>F&amp;B dan Dapur</t>
        </is>
      </c>
      <c r="C58" s="11" t="inlineStr">
        <is>
          <t>Resep dan produksi</t>
        </is>
      </c>
      <c r="D58" s="11" t="inlineStr">
        <is>
          <t>Dapur → Resep, Produksi</t>
        </is>
      </c>
      <c r="E58" s="11" t="inlineStr">
        <is>
          <t>Kepala dapur</t>
        </is>
      </c>
      <c r="F58" s="11" t="inlineStr">
        <is>
          <t>Resep tersimpan dan produksi mengurangi bahan.</t>
        </is>
      </c>
      <c r="G58" s="10" t="inlineStr">
        <is>
          <t>Belum</t>
        </is>
      </c>
      <c r="H58" s="11" t="n"/>
    </row>
    <row r="59">
      <c r="A59" s="8" t="n">
        <v>55</v>
      </c>
      <c r="B59" s="9" t="inlineStr">
        <is>
          <t>F&amp;B dan Dapur</t>
        </is>
      </c>
      <c r="C59" s="9" t="inlineStr">
        <is>
          <t>Limbah makanan</t>
        </is>
      </c>
      <c r="D59" s="9" t="inlineStr">
        <is>
          <t>Dapur → Limbah</t>
        </is>
      </c>
      <c r="E59" s="9" t="inlineStr">
        <is>
          <t>Dapur</t>
        </is>
      </c>
      <c r="F59" s="9" t="inlineStr">
        <is>
          <t>Limbah tercatat dengan alasan.</t>
        </is>
      </c>
      <c r="G59" s="8" t="inlineStr">
        <is>
          <t>Belum</t>
        </is>
      </c>
      <c r="H59" s="9" t="n"/>
    </row>
    <row r="60">
      <c r="A60" s="10" t="n">
        <v>56</v>
      </c>
      <c r="B60" s="11" t="inlineStr">
        <is>
          <t>Stok dan Pembelian</t>
        </is>
      </c>
      <c r="C60" s="11" t="inlineStr">
        <is>
          <t>Daftar stok dan lokasi</t>
        </is>
      </c>
      <c r="D60" s="11" t="inlineStr">
        <is>
          <t>Persediaan → Stok</t>
        </is>
      </c>
      <c r="E60" s="11" t="inlineStr">
        <is>
          <t>Gudang</t>
        </is>
      </c>
      <c r="F60" s="11" t="inlineStr">
        <is>
          <t>Stok per lokasi sesuai kenyataan.</t>
        </is>
      </c>
      <c r="G60" s="10" t="inlineStr">
        <is>
          <t>Belum</t>
        </is>
      </c>
      <c r="H60" s="11" t="n"/>
    </row>
    <row r="61">
      <c r="A61" s="8" t="n">
        <v>57</v>
      </c>
      <c r="B61" s="9" t="inlineStr">
        <is>
          <t>Stok dan Pembelian</t>
        </is>
      </c>
      <c r="C61" s="9" t="inlineStr">
        <is>
          <t>Impor pemasok dari CSV</t>
        </is>
      </c>
      <c r="D61" s="9" t="inlineStr">
        <is>
          <t>Persediaan → Pemasok → Impor dari berkas</t>
        </is>
      </c>
      <c r="E61" s="9" t="inlineStr">
        <is>
          <t>Pembelian</t>
        </is>
      </c>
      <c r="F61" s="9" t="inlineStr">
        <is>
          <t>Kode pemasok ganda dan termin di luar 0 sampai 180 hari ditolak dengan nomor baris.</t>
        </is>
      </c>
      <c r="G61" s="8" t="inlineStr">
        <is>
          <t>Belum</t>
        </is>
      </c>
      <c r="H61" s="9" t="n"/>
    </row>
    <row r="62">
      <c r="A62" s="10" t="n">
        <v>58</v>
      </c>
      <c r="B62" s="11" t="inlineStr">
        <is>
          <t>Stok dan Pembelian</t>
        </is>
      </c>
      <c r="C62" s="11" t="inlineStr">
        <is>
          <t>Permintaan pembelian</t>
        </is>
      </c>
      <c r="D62" s="11" t="inlineStr">
        <is>
          <t>Persediaan → Permintaan</t>
        </is>
      </c>
      <c r="E62" s="11" t="inlineStr">
        <is>
          <t>Departemen</t>
        </is>
      </c>
      <c r="F62" s="11" t="inlineStr">
        <is>
          <t>Permintaan dibuat dan masuk persetujuan.</t>
        </is>
      </c>
      <c r="G62" s="10" t="inlineStr">
        <is>
          <t>Belum</t>
        </is>
      </c>
      <c r="H62" s="11" t="n"/>
    </row>
    <row r="63">
      <c r="A63" s="8" t="n">
        <v>59</v>
      </c>
      <c r="B63" s="9" t="inlineStr">
        <is>
          <t>Stok dan Pembelian</t>
        </is>
      </c>
      <c r="C63" s="9" t="inlineStr">
        <is>
          <t>Pesanan pembelian</t>
        </is>
      </c>
      <c r="D63" s="9" t="inlineStr">
        <is>
          <t>Persediaan → Pesanan</t>
        </is>
      </c>
      <c r="E63" s="9" t="inlineStr">
        <is>
          <t>Pembelian</t>
        </is>
      </c>
      <c r="F63" s="9" t="inlineStr">
        <is>
          <t>Pesanan dibuat dari permintaan yang disetujui.</t>
        </is>
      </c>
      <c r="G63" s="8" t="inlineStr">
        <is>
          <t>Belum</t>
        </is>
      </c>
      <c r="H63" s="9" t="n"/>
    </row>
    <row r="64">
      <c r="A64" s="10" t="n">
        <v>60</v>
      </c>
      <c r="B64" s="11" t="inlineStr">
        <is>
          <t>Stok dan Pembelian</t>
        </is>
      </c>
      <c r="C64" s="11" t="inlineStr">
        <is>
          <t>Penerimaan barang</t>
        </is>
      </c>
      <c r="D64" s="11" t="inlineStr">
        <is>
          <t>Persediaan → Penerimaan</t>
        </is>
      </c>
      <c r="E64" s="11" t="inlineStr">
        <is>
          <t>Gudang</t>
        </is>
      </c>
      <c r="F64" s="11" t="inlineStr">
        <is>
          <t>Stok naik sesuai jumlah diterima.</t>
        </is>
      </c>
      <c r="G64" s="10" t="inlineStr">
        <is>
          <t>Belum</t>
        </is>
      </c>
      <c r="H64" s="11" t="n"/>
    </row>
    <row r="65">
      <c r="A65" s="8" t="n">
        <v>61</v>
      </c>
      <c r="B65" s="9" t="inlineStr">
        <is>
          <t>Stok dan Pembelian</t>
        </is>
      </c>
      <c r="C65" s="9" t="inlineStr">
        <is>
          <t>Faktur pemasok</t>
        </is>
      </c>
      <c r="D65" s="9" t="inlineStr">
        <is>
          <t>Persediaan → Faktur</t>
        </is>
      </c>
      <c r="E65" s="9" t="inlineStr">
        <is>
          <t>Pembelian</t>
        </is>
      </c>
      <c r="F65" s="9" t="inlineStr">
        <is>
          <t>Faktur dicocokkan dengan pesanan dan penerimaan.</t>
        </is>
      </c>
      <c r="G65" s="8" t="inlineStr">
        <is>
          <t>Belum</t>
        </is>
      </c>
      <c r="H65" s="9" t="n"/>
    </row>
    <row r="66">
      <c r="A66" s="10" t="n">
        <v>62</v>
      </c>
      <c r="B66" s="11" t="inlineStr">
        <is>
          <t>Stok dan Pembelian</t>
        </is>
      </c>
      <c r="C66" s="11" t="inlineStr">
        <is>
          <t>Retur ke pemasok</t>
        </is>
      </c>
      <c r="D66" s="11" t="inlineStr">
        <is>
          <t>Persediaan → Retur</t>
        </is>
      </c>
      <c r="E66" s="11" t="inlineStr">
        <is>
          <t>Gudang</t>
        </is>
      </c>
      <c r="F66" s="11" t="inlineStr">
        <is>
          <t>Stok turun dan nilai retur tercatat.</t>
        </is>
      </c>
      <c r="G66" s="10" t="inlineStr">
        <is>
          <t>Belum</t>
        </is>
      </c>
      <c r="H66" s="11" t="n"/>
    </row>
    <row r="67">
      <c r="A67" s="8" t="n">
        <v>63</v>
      </c>
      <c r="B67" s="9" t="inlineStr">
        <is>
          <t>Stok dan Pembelian</t>
        </is>
      </c>
      <c r="C67" s="9" t="inlineStr">
        <is>
          <t>Transfer dan permintaan barang antar lokasi</t>
        </is>
      </c>
      <c r="D67" s="9" t="inlineStr">
        <is>
          <t>Transfer, Permintaan internal</t>
        </is>
      </c>
      <c r="E67" s="9" t="inlineStr">
        <is>
          <t>Gudang</t>
        </is>
      </c>
      <c r="F67" s="9" t="inlineStr">
        <is>
          <t>Barang pindah dan diterima di lokasi tujuan.</t>
        </is>
      </c>
      <c r="G67" s="8" t="inlineStr">
        <is>
          <t>Belum</t>
        </is>
      </c>
      <c r="H67" s="9" t="n"/>
    </row>
    <row r="68">
      <c r="A68" s="10" t="n">
        <v>64</v>
      </c>
      <c r="B68" s="11" t="inlineStr">
        <is>
          <t>Stok dan Pembelian</t>
        </is>
      </c>
      <c r="C68" s="11" t="inlineStr">
        <is>
          <t>Hitung stok (opname)</t>
        </is>
      </c>
      <c r="D68" s="11" t="inlineStr">
        <is>
          <t>Persediaan → Hitung</t>
        </is>
      </c>
      <c r="E68" s="11" t="inlineStr">
        <is>
          <t>Gudang</t>
        </is>
      </c>
      <c r="F68" s="11" t="inlineStr">
        <is>
          <t>Selisih terlihat dan penyesuaian perlu persetujuan.</t>
        </is>
      </c>
      <c r="G68" s="10" t="inlineStr">
        <is>
          <t>Belum</t>
        </is>
      </c>
      <c r="H68" s="11" t="n"/>
    </row>
    <row r="69">
      <c r="A69" s="8" t="n">
        <v>65</v>
      </c>
      <c r="B69" s="9" t="inlineStr">
        <is>
          <t>SDM dan Absensi</t>
        </is>
      </c>
      <c r="C69" s="9" t="inlineStr">
        <is>
          <t>Impor karyawan dari CSV</t>
        </is>
      </c>
      <c r="D69" s="9" t="inlineStr">
        <is>
          <t>SDM → Karyawan → Impor dari berkas</t>
        </is>
      </c>
      <c r="E69" s="9" t="inlineStr">
        <is>
          <t>HRD</t>
        </is>
      </c>
      <c r="F69" s="9" t="inlineStr">
        <is>
          <t>Departemen salah atau kontrak tanpa tanggal akhir ditolak dengan nomor baris.</t>
        </is>
      </c>
      <c r="G69" s="8" t="inlineStr">
        <is>
          <t>Belum</t>
        </is>
      </c>
      <c r="H69" s="9" t="n"/>
    </row>
    <row r="70">
      <c r="A70" s="10" t="n">
        <v>66</v>
      </c>
      <c r="B70" s="11" t="inlineStr">
        <is>
          <t>SDM dan Absensi</t>
        </is>
      </c>
      <c r="C70" s="11" t="inlineStr">
        <is>
          <t>Tambah dan ubah karyawan</t>
        </is>
      </c>
      <c r="D70" s="11" t="inlineStr">
        <is>
          <t>SDM → Karyawan</t>
        </is>
      </c>
      <c r="E70" s="11" t="inlineStr">
        <is>
          <t>HRD</t>
        </is>
      </c>
      <c r="F70" s="11" t="inlineStr">
        <is>
          <t>Data tersimpan, nomor karyawan otomatis.</t>
        </is>
      </c>
      <c r="G70" s="10" t="inlineStr">
        <is>
          <t>Belum</t>
        </is>
      </c>
      <c r="H70" s="11" t="n"/>
    </row>
    <row r="71">
      <c r="A71" s="8" t="n">
        <v>67</v>
      </c>
      <c r="B71" s="9" t="inlineStr">
        <is>
          <t>SDM dan Absensi</t>
        </is>
      </c>
      <c r="C71" s="9" t="inlineStr">
        <is>
          <t>Jadwal kerja (roster)</t>
        </is>
      </c>
      <c r="D71" s="9" t="inlineStr">
        <is>
          <t>SDM → Jadwal</t>
        </is>
      </c>
      <c r="E71" s="9" t="inlineStr">
        <is>
          <t>Supervisor</t>
        </is>
      </c>
      <c r="F71" s="9" t="inlineStr">
        <is>
          <t>Shift bisa diatur dan staf melihat jadwalnya.</t>
        </is>
      </c>
      <c r="G71" s="8" t="inlineStr">
        <is>
          <t>Belum</t>
        </is>
      </c>
      <c r="H71" s="9" t="n"/>
    </row>
    <row r="72">
      <c r="A72" s="10" t="n">
        <v>68</v>
      </c>
      <c r="B72" s="11" t="inlineStr">
        <is>
          <t>SDM dan Absensi</t>
        </is>
      </c>
      <c r="C72" s="11" t="inlineStr">
        <is>
          <t>Absen masuk dari HP</t>
        </is>
      </c>
      <c r="D72" s="11" t="inlineStr">
        <is>
          <t>SDM → Saya</t>
        </is>
      </c>
      <c r="E72" s="11" t="inlineStr">
        <is>
          <t>Staf</t>
        </is>
      </c>
      <c r="F72" s="11" t="inlineStr">
        <is>
          <t>Selfie dan lokasi terambil, absen tercatat.</t>
        </is>
      </c>
      <c r="G72" s="10" t="inlineStr">
        <is>
          <t>Belum</t>
        </is>
      </c>
      <c r="H72" s="11" t="n"/>
    </row>
    <row r="73">
      <c r="A73" s="8" t="n">
        <v>69</v>
      </c>
      <c r="B73" s="9" t="inlineStr">
        <is>
          <t>SDM dan Absensi</t>
        </is>
      </c>
      <c r="C73" s="9" t="inlineStr">
        <is>
          <t>Absen pulang</t>
        </is>
      </c>
      <c r="D73" s="9" t="inlineStr">
        <is>
          <t>SDM → Saya</t>
        </is>
      </c>
      <c r="E73" s="9" t="inlineStr">
        <is>
          <t>Staf</t>
        </is>
      </c>
      <c r="F73" s="9" t="inlineStr">
        <is>
          <t>Jam pulang tercatat.</t>
        </is>
      </c>
      <c r="G73" s="8" t="inlineStr">
        <is>
          <t>Belum</t>
        </is>
      </c>
      <c r="H73" s="9" t="n"/>
    </row>
    <row r="74">
      <c r="A74" s="10" t="n">
        <v>70</v>
      </c>
      <c r="B74" s="11" t="inlineStr">
        <is>
          <t>SDM dan Absensi</t>
        </is>
      </c>
      <c r="C74" s="11" t="inlineStr">
        <is>
          <t>Peninjauan absensi</t>
        </is>
      </c>
      <c r="D74" s="11" t="inlineStr">
        <is>
          <t>SDM → Absensi</t>
        </is>
      </c>
      <c r="E74" s="11" t="inlineStr">
        <is>
          <t>Manajer</t>
        </is>
      </c>
      <c r="F74" s="11" t="inlineStr">
        <is>
          <t>Tanda kejanggalan tampil dan keputusan butuh catatan. Tidak bisa meninjau absen sendiri.</t>
        </is>
      </c>
      <c r="G74" s="10" t="inlineStr">
        <is>
          <t>Belum</t>
        </is>
      </c>
      <c r="H74" s="11" t="n"/>
    </row>
    <row r="75">
      <c r="A75" s="8" t="n">
        <v>71</v>
      </c>
      <c r="B75" s="9" t="inlineStr">
        <is>
          <t>SDM dan Absensi</t>
        </is>
      </c>
      <c r="C75" s="9" t="inlineStr">
        <is>
          <t>Cuti</t>
        </is>
      </c>
      <c r="D75" s="9" t="inlineStr">
        <is>
          <t>SDM → Cuti</t>
        </is>
      </c>
      <c r="E75" s="9" t="inlineStr">
        <is>
          <t>Staf, atasan</t>
        </is>
      </c>
      <c r="F75" s="9" t="inlineStr">
        <is>
          <t>Pengajuan dan persetujuan berjalan.</t>
        </is>
      </c>
      <c r="G75" s="8" t="inlineStr">
        <is>
          <t>Belum</t>
        </is>
      </c>
      <c r="H75" s="9" t="n"/>
    </row>
    <row r="76">
      <c r="A76" s="10" t="n">
        <v>72</v>
      </c>
      <c r="B76" s="11" t="inlineStr">
        <is>
          <t>SDM dan Absensi</t>
        </is>
      </c>
      <c r="C76" s="11" t="inlineStr">
        <is>
          <t>Tukar shift</t>
        </is>
      </c>
      <c r="D76" s="11" t="inlineStr">
        <is>
          <t>SDM → Tukar shift</t>
        </is>
      </c>
      <c r="E76" s="11" t="inlineStr">
        <is>
          <t>Staf</t>
        </is>
      </c>
      <c r="F76" s="11" t="inlineStr">
        <is>
          <t>Permintaan tukar diajukan dan disetujui.</t>
        </is>
      </c>
      <c r="G76" s="10" t="inlineStr">
        <is>
          <t>Belum</t>
        </is>
      </c>
      <c r="H76" s="11" t="n"/>
    </row>
    <row r="77">
      <c r="A77" s="8" t="n">
        <v>73</v>
      </c>
      <c r="B77" s="9" t="inlineStr">
        <is>
          <t>SDM dan Absensi</t>
        </is>
      </c>
      <c r="C77" s="9" t="inlineStr">
        <is>
          <t>Pengumuman dan catatan disiplin</t>
        </is>
      </c>
      <c r="D77" s="9" t="inlineStr">
        <is>
          <t>SDM</t>
        </is>
      </c>
      <c r="E77" s="9" t="inlineStr">
        <is>
          <t>HRD</t>
        </is>
      </c>
      <c r="F77" s="9" t="inlineStr">
        <is>
          <t>Pengumuman terbaca staf.</t>
        </is>
      </c>
      <c r="G77" s="8" t="inlineStr">
        <is>
          <t>Belum</t>
        </is>
      </c>
      <c r="H77" s="9" t="n"/>
    </row>
    <row r="78">
      <c r="A78" s="10" t="n">
        <v>74</v>
      </c>
      <c r="B78" s="11" t="inlineStr">
        <is>
          <t>SDM dan Absensi</t>
        </is>
      </c>
      <c r="C78" s="11" t="inlineStr">
        <is>
          <t>Penggajian dan slip gaji</t>
        </is>
      </c>
      <c r="D78" s="11" t="inlineStr">
        <is>
          <t>SDM → Penggajian, Slip gaji</t>
        </is>
      </c>
      <c r="E78" s="11" t="inlineStr">
        <is>
          <t>HRD</t>
        </is>
      </c>
      <c r="F78" s="11" t="inlineStr">
        <is>
          <t>Penggajian dihitung dan slip bisa dicetak.</t>
        </is>
      </c>
      <c r="G78" s="10" t="inlineStr">
        <is>
          <t>Belum</t>
        </is>
      </c>
      <c r="H78" s="11" t="n"/>
    </row>
    <row r="79">
      <c r="A79" s="8" t="n">
        <v>75</v>
      </c>
      <c r="B79" s="9" t="inlineStr">
        <is>
          <t>Perawatan</t>
        </is>
      </c>
      <c r="C79" s="9" t="inlineStr">
        <is>
          <t>Perintah kerja</t>
        </is>
      </c>
      <c r="D79" s="9" t="inlineStr">
        <is>
          <t>Perawatan</t>
        </is>
      </c>
      <c r="E79" s="9" t="inlineStr">
        <is>
          <t>Teknisi</t>
        </is>
      </c>
      <c r="F79" s="9" t="inlineStr">
        <is>
          <t>Laporan kerusakan menjadi perintah kerja dan bisa diselesaikan.</t>
        </is>
      </c>
      <c r="G79" s="8" t="inlineStr">
        <is>
          <t>Belum</t>
        </is>
      </c>
      <c r="H79" s="9" t="n"/>
    </row>
    <row r="80">
      <c r="A80" s="10" t="n">
        <v>76</v>
      </c>
      <c r="B80" s="11" t="inlineStr">
        <is>
          <t>Perawatan</t>
        </is>
      </c>
      <c r="C80" s="11" t="inlineStr">
        <is>
          <t>Aset dan jadwal rutin</t>
        </is>
      </c>
      <c r="D80" s="11" t="inlineStr">
        <is>
          <t>Perawatan → Aset, Tugas rutin</t>
        </is>
      </c>
      <c r="E80" s="11" t="inlineStr">
        <is>
          <t>Teknisi</t>
        </is>
      </c>
      <c r="F80" s="11" t="inlineStr">
        <is>
          <t>Aset terdaftar dan tugas rutin muncul sesuai jadwal.</t>
        </is>
      </c>
      <c r="G80" s="10" t="inlineStr">
        <is>
          <t>Belum</t>
        </is>
      </c>
      <c r="H80" s="11" t="n"/>
    </row>
    <row r="81">
      <c r="A81" s="8" t="n">
        <v>77</v>
      </c>
      <c r="B81" s="9" t="inlineStr">
        <is>
          <t>Perawatan</t>
        </is>
      </c>
      <c r="C81" s="9" t="inlineStr">
        <is>
          <t>Pekerjaan vendor</t>
        </is>
      </c>
      <c r="D81" s="9" t="inlineStr">
        <is>
          <t>Perawatan → Vendor</t>
        </is>
      </c>
      <c r="E81" s="9" t="inlineStr">
        <is>
          <t>Teknisi</t>
        </is>
      </c>
      <c r="F81" s="9" t="inlineStr">
        <is>
          <t>Pekerjaan vendor tercatat.</t>
        </is>
      </c>
      <c r="G81" s="8" t="inlineStr">
        <is>
          <t>Belum</t>
        </is>
      </c>
      <c r="H81" s="9" t="n"/>
    </row>
    <row r="82">
      <c r="A82" s="10" t="n">
        <v>78</v>
      </c>
      <c r="B82" s="11" t="inlineStr">
        <is>
          <t>Keuangan</t>
        </is>
      </c>
      <c r="C82" s="11" t="inlineStr">
        <is>
          <t>Utang dan pembayaran pemasok</t>
        </is>
      </c>
      <c r="D82" s="11" t="inlineStr">
        <is>
          <t>Keuangan → Utang, Pembayaran</t>
        </is>
      </c>
      <c r="E82" s="11" t="inlineStr">
        <is>
          <t>Finance</t>
        </is>
      </c>
      <c r="F82" s="11" t="inlineStr">
        <is>
          <t>Faktur menjadi utang dan pembayaran perlu persetujuan.</t>
        </is>
      </c>
      <c r="G82" s="10" t="inlineStr">
        <is>
          <t>Belum</t>
        </is>
      </c>
      <c r="H82" s="11" t="n"/>
    </row>
    <row r="83">
      <c r="A83" s="8" t="n">
        <v>79</v>
      </c>
      <c r="B83" s="9" t="inlineStr">
        <is>
          <t>Keuangan</t>
        </is>
      </c>
      <c r="C83" s="9" t="inlineStr">
        <is>
          <t>Piutang dan pelanggan</t>
        </is>
      </c>
      <c r="D83" s="9" t="inlineStr">
        <is>
          <t>Keuangan → Piutang</t>
        </is>
      </c>
      <c r="E83" s="9" t="inlineStr">
        <is>
          <t>Finance</t>
        </is>
      </c>
      <c r="F83" s="9" t="inlineStr">
        <is>
          <t>Tagihan perusahaan tercatat dan bisa dilunasi.</t>
        </is>
      </c>
      <c r="G83" s="8" t="inlineStr">
        <is>
          <t>Belum</t>
        </is>
      </c>
      <c r="H83" s="9" t="n"/>
    </row>
    <row r="84">
      <c r="A84" s="10" t="n">
        <v>80</v>
      </c>
      <c r="B84" s="11" t="inlineStr">
        <is>
          <t>Keuangan</t>
        </is>
      </c>
      <c r="C84" s="11" t="inlineStr">
        <is>
          <t>Pendapatan harian dan kas</t>
        </is>
      </c>
      <c r="D84" s="11" t="inlineStr">
        <is>
          <t>Keuangan → Pendapatan, Kas</t>
        </is>
      </c>
      <c r="E84" s="11" t="inlineStr">
        <is>
          <t>Finance</t>
        </is>
      </c>
      <c r="F84" s="11" t="inlineStr">
        <is>
          <t>Angka sesuai dengan audit malam.</t>
        </is>
      </c>
      <c r="G84" s="10" t="inlineStr">
        <is>
          <t>Belum</t>
        </is>
      </c>
      <c r="H84" s="11" t="n"/>
    </row>
    <row r="85">
      <c r="A85" s="8" t="n">
        <v>81</v>
      </c>
      <c r="B85" s="9" t="inlineStr">
        <is>
          <t>Keuangan</t>
        </is>
      </c>
      <c r="C85" s="9" t="inlineStr">
        <is>
          <t>Laporan laba rugi dan arus kas</t>
        </is>
      </c>
      <c r="D85" s="9" t="inlineStr">
        <is>
          <t>Keuangan</t>
        </is>
      </c>
      <c r="E85" s="9" t="inlineStr">
        <is>
          <t>Finance</t>
        </is>
      </c>
      <c r="F85" s="9" t="inlineStr">
        <is>
          <t>Laporan terbuka dan angkanya masuk akal.</t>
        </is>
      </c>
      <c r="G85" s="8" t="inlineStr">
        <is>
          <t>Belum</t>
        </is>
      </c>
      <c r="H85" s="9" t="n"/>
    </row>
    <row r="86">
      <c r="A86" s="10" t="n">
        <v>82</v>
      </c>
      <c r="B86" s="11" t="inlineStr">
        <is>
          <t>Keuangan</t>
        </is>
      </c>
      <c r="C86" s="11" t="inlineStr">
        <is>
          <t>Kas kecil</t>
        </is>
      </c>
      <c r="D86" s="11" t="inlineStr">
        <is>
          <t>Keuangan → Kas kecil</t>
        </is>
      </c>
      <c r="E86" s="11" t="inlineStr">
        <is>
          <t>Finance</t>
        </is>
      </c>
      <c r="F86" s="11" t="inlineStr">
        <is>
          <t>Pengeluaran dicatat dan diselesaikan.</t>
        </is>
      </c>
      <c r="G86" s="10" t="inlineStr">
        <is>
          <t>Belum</t>
        </is>
      </c>
      <c r="H86" s="11" t="n"/>
    </row>
    <row r="87">
      <c r="A87" s="8" t="n">
        <v>83</v>
      </c>
      <c r="B87" s="9" t="inlineStr">
        <is>
          <t>Keuangan</t>
        </is>
      </c>
      <c r="C87" s="9" t="inlineStr">
        <is>
          <t>Anggaran</t>
        </is>
      </c>
      <c r="D87" s="9" t="inlineStr">
        <is>
          <t>Keuangan → Anggaran</t>
        </is>
      </c>
      <c r="E87" s="9" t="inlineStr">
        <is>
          <t>Finance</t>
        </is>
      </c>
      <c r="F87" s="9" t="inlineStr">
        <is>
          <t>Anggaran dan realisasi tampil.</t>
        </is>
      </c>
      <c r="G87" s="8" t="inlineStr">
        <is>
          <t>Belum</t>
        </is>
      </c>
      <c r="H87" s="9" t="n"/>
    </row>
    <row r="88">
      <c r="A88" s="10" t="n">
        <v>84</v>
      </c>
      <c r="B88" s="11" t="inlineStr">
        <is>
          <t>Keuangan</t>
        </is>
      </c>
      <c r="C88" s="11" t="inlineStr">
        <is>
          <t>Pajak dan ekspor</t>
        </is>
      </c>
      <c r="D88" s="11" t="inlineStr">
        <is>
          <t>Keuangan → Pajak, Ekspor</t>
        </is>
      </c>
      <c r="E88" s="11" t="inlineStr">
        <is>
          <t>Finance</t>
        </is>
      </c>
      <c r="F88" s="11" t="inlineStr">
        <is>
          <t>Ringkasan pajak benar setelah tarif diisi.</t>
        </is>
      </c>
      <c r="G88" s="10" t="inlineStr">
        <is>
          <t>Belum</t>
        </is>
      </c>
      <c r="H88" s="11" t="n"/>
    </row>
    <row r="89">
      <c r="A89" s="8" t="n">
        <v>85</v>
      </c>
      <c r="B89" s="9" t="inlineStr">
        <is>
          <t>Laporan dan dasbor</t>
        </is>
      </c>
      <c r="C89" s="9" t="inlineStr">
        <is>
          <t>Dasbor</t>
        </is>
      </c>
      <c r="D89" s="9" t="inlineStr">
        <is>
          <t>Dasbor</t>
        </is>
      </c>
      <c r="E89" s="9" t="inlineStr">
        <is>
          <t>Manajer</t>
        </is>
      </c>
      <c r="F89" s="9" t="inlineStr">
        <is>
          <t>Angka hari ini tampil dan sesuai.</t>
        </is>
      </c>
      <c r="G89" s="8" t="inlineStr">
        <is>
          <t>Belum</t>
        </is>
      </c>
      <c r="H89" s="9" t="n"/>
    </row>
    <row r="90">
      <c r="A90" s="10" t="n">
        <v>86</v>
      </c>
      <c r="B90" s="11" t="inlineStr">
        <is>
          <t>Laporan dan dasbor</t>
        </is>
      </c>
      <c r="C90" s="11" t="inlineStr">
        <is>
          <t>Laporan harian: arus, kinerja, penjualan, pembayaran</t>
        </is>
      </c>
      <c r="D90" s="11" t="inlineStr">
        <is>
          <t>Laporan</t>
        </is>
      </c>
      <c r="E90" s="11" t="inlineStr">
        <is>
          <t>Manajer</t>
        </is>
      </c>
      <c r="F90" s="11" t="inlineStr">
        <is>
          <t>Tiap laporan terbuka, bisa dicetak atau disimpan sebagai PDF.</t>
        </is>
      </c>
      <c r="G90" s="10" t="inlineStr">
        <is>
          <t>Belum</t>
        </is>
      </c>
      <c r="H90" s="11" t="n"/>
    </row>
    <row r="91">
      <c r="A91" s="8" t="n">
        <v>87</v>
      </c>
      <c r="B91" s="9" t="inlineStr">
        <is>
          <t>Laporan dan dasbor</t>
        </is>
      </c>
      <c r="C91" s="9" t="inlineStr">
        <is>
          <t>Ekspor dan jadwal laporan</t>
        </is>
      </c>
      <c r="D91" s="9" t="inlineStr">
        <is>
          <t>Laporan → Ekspor, Jadwal</t>
        </is>
      </c>
      <c r="E91" s="9" t="inlineStr">
        <is>
          <t>Manajer</t>
        </is>
      </c>
      <c r="F91" s="9" t="inlineStr">
        <is>
          <t>Ekspor dibuat dan diunduh. Laporan terjadwal terkirim.</t>
        </is>
      </c>
      <c r="G91" s="8" t="inlineStr">
        <is>
          <t>Belum</t>
        </is>
      </c>
      <c r="H91" s="9" t="n"/>
    </row>
    <row r="92">
      <c r="A92" s="10" t="n">
        <v>88</v>
      </c>
      <c r="B92" s="11" t="inlineStr">
        <is>
          <t>Tanpa sinyal dan privasi</t>
        </is>
      </c>
      <c r="C92" s="11" t="inlineStr">
        <is>
          <t>Bekerja saat sinyal hilang</t>
        </is>
      </c>
      <c r="D92" s="11" t="inlineStr">
        <is>
          <t>Matikan data HP 2 menit</t>
        </is>
      </c>
      <c r="E92" s="11" t="inlineStr">
        <is>
          <t>Resepsionis, staf</t>
        </is>
      </c>
      <c r="F92" s="11" t="inlineStr">
        <is>
          <t>Catat sesuatu saat luring. Setelah sinyal kembali, data masuk sekali, tidak ganda.</t>
        </is>
      </c>
      <c r="G92" s="10" t="inlineStr">
        <is>
          <t>Belum</t>
        </is>
      </c>
      <c r="H92" s="11" t="n"/>
    </row>
    <row r="93">
      <c r="A93" s="8" t="n">
        <v>89</v>
      </c>
      <c r="B93" s="9" t="inlineStr">
        <is>
          <t>Tanpa sinyal dan privasi</t>
        </is>
      </c>
      <c r="C93" s="9" t="inlineStr">
        <is>
          <t>Tampilan HP kecil dan dicubit-perbesar</t>
        </is>
      </c>
      <c r="D93" s="9" t="inlineStr">
        <is>
          <t>Semua layar utama</t>
        </is>
      </c>
      <c r="E93" s="9" t="inlineStr">
        <is>
          <t>Semua</t>
        </is>
      </c>
      <c r="F93" s="9" t="inlineStr">
        <is>
          <t>Tidak ada form yang meluber dan tombol terjangkau.</t>
        </is>
      </c>
      <c r="G93" s="8" t="inlineStr">
        <is>
          <t>Belum</t>
        </is>
      </c>
      <c r="H93" s="9" t="n"/>
    </row>
    <row r="94">
      <c r="A94" s="10" t="n">
        <v>90</v>
      </c>
      <c r="B94" s="11" t="inlineStr">
        <is>
          <t>Tanpa sinyal dan privasi</t>
        </is>
      </c>
      <c r="C94" s="11" t="inlineStr">
        <is>
          <t>Safari iPhone</t>
        </is>
      </c>
      <c r="D94" s="11" t="inlineStr">
        <is>
          <t>Semua alur inti</t>
        </is>
      </c>
      <c r="E94" s="11" t="inlineStr">
        <is>
          <t>Penguji iPhone</t>
        </is>
      </c>
      <c r="F94" s="11" t="inlineStr">
        <is>
          <t>Belum pernah diuji di perangkat sungguhan. Catat versi iOS.</t>
        </is>
      </c>
      <c r="G94" s="10" t="inlineStr">
        <is>
          <t>Belum</t>
        </is>
      </c>
      <c r="H94" s="11" t="n"/>
    </row>
    <row r="95">
      <c r="A95" s="8" t="n">
        <v>91</v>
      </c>
      <c r="B95" s="9" t="inlineStr">
        <is>
          <t>Tanpa sinyal dan privasi</t>
        </is>
      </c>
      <c r="C95" s="9" t="inlineStr">
        <is>
          <t>Pengendalian akses</t>
        </is>
      </c>
      <c r="D95" s="9" t="inlineStr">
        <is>
          <t>Coba buka halaman yang bukan hak peran</t>
        </is>
      </c>
      <c r="E95" s="9" t="inlineStr">
        <is>
          <t>Semua</t>
        </is>
      </c>
      <c r="F95" s="9" t="inlineStr">
        <is>
          <t>Ditolak. Menu juga tidak menawarkan halaman itu.</t>
        </is>
      </c>
      <c r="G95" s="8" t="inlineStr">
        <is>
          <t>Belum</t>
        </is>
      </c>
      <c r="H95" s="9" t="n"/>
    </row>
  </sheetData>
  <autoFilter ref="A4:H95"/>
  <conditionalFormatting sqref="G5:G95">
    <cfRule type="cellIs" priority="1" operator="equal" dxfId="0">
      <formula>"Lulus"</formula>
    </cfRule>
    <cfRule type="cellIs" priority="2" operator="equal" dxfId="1">
      <formula>"Gagal"</formula>
    </cfRule>
  </conditionalFormatting>
  <dataValidations count="1">
    <dataValidation sqref="G5:G95" showDropDown="0" showInputMessage="0" showErrorMessage="0" allowBlank="0" type="list">
      <formula1>"Belum,Lulus,Gagal"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4" t="inlineStr">
        <is>
          <t>Ringkasan Hasil Uji</t>
        </is>
      </c>
    </row>
    <row r="3">
      <c r="A3" s="12" t="inlineStr">
        <is>
          <t>Bagian</t>
        </is>
      </c>
      <c r="B3" s="12" t="inlineStr">
        <is>
          <t>Jumlah butir</t>
        </is>
      </c>
      <c r="C3" s="12" t="inlineStr">
        <is>
          <t>Lulus</t>
        </is>
      </c>
      <c r="D3" s="12" t="inlineStr">
        <is>
          <t>Gagal</t>
        </is>
      </c>
      <c r="E3" s="12" t="inlineStr">
        <is>
          <t>Belum</t>
        </is>
      </c>
      <c r="F3" s="12" t="inlineStr">
        <is>
          <t>% selesai</t>
        </is>
      </c>
    </row>
    <row r="4">
      <c r="A4" s="13" t="inlineStr">
        <is>
          <t>Masuk, akun, dan kata sandi</t>
        </is>
      </c>
      <c r="B4" s="14">
        <f>COUNTIF(Ceklist!$B$5:$B$95,A4)</f>
        <v/>
      </c>
      <c r="C4" s="14">
        <f>COUNTIFS(Ceklist!$B$5:$B$95,A4,Ceklist!$G$5:$G$95,"Lulus")</f>
        <v/>
      </c>
      <c r="D4" s="14">
        <f>COUNTIFS(Ceklist!$B$5:$B$95,A4,Ceklist!$G$5:$G$95,"Gagal")</f>
        <v/>
      </c>
      <c r="E4" s="14">
        <f>B4-C4-D4</f>
        <v/>
      </c>
      <c r="F4" s="15">
        <f>IF(B4=0,0,(C4+D4)/B4)</f>
        <v/>
      </c>
    </row>
    <row r="5">
      <c r="A5" s="13" t="inlineStr">
        <is>
          <t>Setup awal properti</t>
        </is>
      </c>
      <c r="B5" s="14">
        <f>COUNTIF(Ceklist!$B$5:$B$95,A5)</f>
        <v/>
      </c>
      <c r="C5" s="14">
        <f>COUNTIFS(Ceklist!$B$5:$B$95,A5,Ceklist!$G$5:$G$95,"Lulus")</f>
        <v/>
      </c>
      <c r="D5" s="14">
        <f>COUNTIFS(Ceklist!$B$5:$B$95,A5,Ceklist!$G$5:$G$95,"Gagal")</f>
        <v/>
      </c>
      <c r="E5" s="14">
        <f>B5-C5-D5</f>
        <v/>
      </c>
      <c r="F5" s="15">
        <f>IF(B5=0,0,(C5+D5)/B5)</f>
        <v/>
      </c>
    </row>
    <row r="6">
      <c r="A6" s="13" t="inlineStr">
        <is>
          <t>Pengguna, peran, dan persetujuan</t>
        </is>
      </c>
      <c r="B6" s="14">
        <f>COUNTIF(Ceklist!$B$5:$B$95,A6)</f>
        <v/>
      </c>
      <c r="C6" s="14">
        <f>COUNTIFS(Ceklist!$B$5:$B$95,A6,Ceklist!$G$5:$G$95,"Lulus")</f>
        <v/>
      </c>
      <c r="D6" s="14">
        <f>COUNTIFS(Ceklist!$B$5:$B$95,A6,Ceklist!$G$5:$G$95,"Gagal")</f>
        <v/>
      </c>
      <c r="E6" s="14">
        <f>B6-C6-D6</f>
        <v/>
      </c>
      <c r="F6" s="15">
        <f>IF(B6=0,0,(C6+D6)/B6)</f>
        <v/>
      </c>
    </row>
    <row r="7">
      <c r="A7" s="13" t="inlineStr">
        <is>
          <t>Front Office</t>
        </is>
      </c>
      <c r="B7" s="14">
        <f>COUNTIF(Ceklist!$B$5:$B$95,A7)</f>
        <v/>
      </c>
      <c r="C7" s="14">
        <f>COUNTIFS(Ceklist!$B$5:$B$95,A7,Ceklist!$G$5:$G$95,"Lulus")</f>
        <v/>
      </c>
      <c r="D7" s="14">
        <f>COUNTIFS(Ceklist!$B$5:$B$95,A7,Ceklist!$G$5:$G$95,"Gagal")</f>
        <v/>
      </c>
      <c r="E7" s="14">
        <f>B7-C7-D7</f>
        <v/>
      </c>
      <c r="F7" s="15">
        <f>IF(B7=0,0,(C7+D7)/B7)</f>
        <v/>
      </c>
    </row>
    <row r="8">
      <c r="A8" s="13" t="inlineStr">
        <is>
          <t>Housekeeping dan Binatu</t>
        </is>
      </c>
      <c r="B8" s="14">
        <f>COUNTIF(Ceklist!$B$5:$B$95,A8)</f>
        <v/>
      </c>
      <c r="C8" s="14">
        <f>COUNTIFS(Ceklist!$B$5:$B$95,A8,Ceklist!$G$5:$G$95,"Lulus")</f>
        <v/>
      </c>
      <c r="D8" s="14">
        <f>COUNTIFS(Ceklist!$B$5:$B$95,A8,Ceklist!$G$5:$G$95,"Gagal")</f>
        <v/>
      </c>
      <c r="E8" s="14">
        <f>B8-C8-D8</f>
        <v/>
      </c>
      <c r="F8" s="15">
        <f>IF(B8=0,0,(C8+D8)/B8)</f>
        <v/>
      </c>
    </row>
    <row r="9">
      <c r="A9" s="13" t="inlineStr">
        <is>
          <t>F&amp;B dan Dapur</t>
        </is>
      </c>
      <c r="B9" s="14">
        <f>COUNTIF(Ceklist!$B$5:$B$95,A9)</f>
        <v/>
      </c>
      <c r="C9" s="14">
        <f>COUNTIFS(Ceklist!$B$5:$B$95,A9,Ceklist!$G$5:$G$95,"Lulus")</f>
        <v/>
      </c>
      <c r="D9" s="14">
        <f>COUNTIFS(Ceklist!$B$5:$B$95,A9,Ceklist!$G$5:$G$95,"Gagal")</f>
        <v/>
      </c>
      <c r="E9" s="14">
        <f>B9-C9-D9</f>
        <v/>
      </c>
      <c r="F9" s="15">
        <f>IF(B9=0,0,(C9+D9)/B9)</f>
        <v/>
      </c>
    </row>
    <row r="10">
      <c r="A10" s="13" t="inlineStr">
        <is>
          <t>Stok dan Pembelian</t>
        </is>
      </c>
      <c r="B10" s="14">
        <f>COUNTIF(Ceklist!$B$5:$B$95,A10)</f>
        <v/>
      </c>
      <c r="C10" s="14">
        <f>COUNTIFS(Ceklist!$B$5:$B$95,A10,Ceklist!$G$5:$G$95,"Lulus")</f>
        <v/>
      </c>
      <c r="D10" s="14">
        <f>COUNTIFS(Ceklist!$B$5:$B$95,A10,Ceklist!$G$5:$G$95,"Gagal")</f>
        <v/>
      </c>
      <c r="E10" s="14">
        <f>B10-C10-D10</f>
        <v/>
      </c>
      <c r="F10" s="15">
        <f>IF(B10=0,0,(C10+D10)/B10)</f>
        <v/>
      </c>
    </row>
    <row r="11">
      <c r="A11" s="13" t="inlineStr">
        <is>
          <t>SDM dan Absensi</t>
        </is>
      </c>
      <c r="B11" s="14">
        <f>COUNTIF(Ceklist!$B$5:$B$95,A11)</f>
        <v/>
      </c>
      <c r="C11" s="14">
        <f>COUNTIFS(Ceklist!$B$5:$B$95,A11,Ceklist!$G$5:$G$95,"Lulus")</f>
        <v/>
      </c>
      <c r="D11" s="14">
        <f>COUNTIFS(Ceklist!$B$5:$B$95,A11,Ceklist!$G$5:$G$95,"Gagal")</f>
        <v/>
      </c>
      <c r="E11" s="14">
        <f>B11-C11-D11</f>
        <v/>
      </c>
      <c r="F11" s="15">
        <f>IF(B11=0,0,(C11+D11)/B11)</f>
        <v/>
      </c>
    </row>
    <row r="12">
      <c r="A12" s="13" t="inlineStr">
        <is>
          <t>Perawatan</t>
        </is>
      </c>
      <c r="B12" s="14">
        <f>COUNTIF(Ceklist!$B$5:$B$95,A12)</f>
        <v/>
      </c>
      <c r="C12" s="14">
        <f>COUNTIFS(Ceklist!$B$5:$B$95,A12,Ceklist!$G$5:$G$95,"Lulus")</f>
        <v/>
      </c>
      <c r="D12" s="14">
        <f>COUNTIFS(Ceklist!$B$5:$B$95,A12,Ceklist!$G$5:$G$95,"Gagal")</f>
        <v/>
      </c>
      <c r="E12" s="14">
        <f>B12-C12-D12</f>
        <v/>
      </c>
      <c r="F12" s="15">
        <f>IF(B12=0,0,(C12+D12)/B12)</f>
        <v/>
      </c>
    </row>
    <row r="13">
      <c r="A13" s="13" t="inlineStr">
        <is>
          <t>Keuangan</t>
        </is>
      </c>
      <c r="B13" s="14">
        <f>COUNTIF(Ceklist!$B$5:$B$95,A13)</f>
        <v/>
      </c>
      <c r="C13" s="14">
        <f>COUNTIFS(Ceklist!$B$5:$B$95,A13,Ceklist!$G$5:$G$95,"Lulus")</f>
        <v/>
      </c>
      <c r="D13" s="14">
        <f>COUNTIFS(Ceklist!$B$5:$B$95,A13,Ceklist!$G$5:$G$95,"Gagal")</f>
        <v/>
      </c>
      <c r="E13" s="14">
        <f>B13-C13-D13</f>
        <v/>
      </c>
      <c r="F13" s="15">
        <f>IF(B13=0,0,(C13+D13)/B13)</f>
        <v/>
      </c>
    </row>
    <row r="14">
      <c r="A14" s="13" t="inlineStr">
        <is>
          <t>Laporan dan dasbor</t>
        </is>
      </c>
      <c r="B14" s="14">
        <f>COUNTIF(Ceklist!$B$5:$B$95,A14)</f>
        <v/>
      </c>
      <c r="C14" s="14">
        <f>COUNTIFS(Ceklist!$B$5:$B$95,A14,Ceklist!$G$5:$G$95,"Lulus")</f>
        <v/>
      </c>
      <c r="D14" s="14">
        <f>COUNTIFS(Ceklist!$B$5:$B$95,A14,Ceklist!$G$5:$G$95,"Gagal")</f>
        <v/>
      </c>
      <c r="E14" s="14">
        <f>B14-C14-D14</f>
        <v/>
      </c>
      <c r="F14" s="15">
        <f>IF(B14=0,0,(C14+D14)/B14)</f>
        <v/>
      </c>
    </row>
    <row r="15">
      <c r="A15" s="13" t="inlineStr">
        <is>
          <t>Tanpa sinyal dan privasi</t>
        </is>
      </c>
      <c r="B15" s="14">
        <f>COUNTIF(Ceklist!$B$5:$B$95,A15)</f>
        <v/>
      </c>
      <c r="C15" s="14">
        <f>COUNTIFS(Ceklist!$B$5:$B$95,A15,Ceklist!$G$5:$G$95,"Lulus")</f>
        <v/>
      </c>
      <c r="D15" s="14">
        <f>COUNTIFS(Ceklist!$B$5:$B$95,A15,Ceklist!$G$5:$G$95,"Gagal")</f>
        <v/>
      </c>
      <c r="E15" s="14">
        <f>B15-C15-D15</f>
        <v/>
      </c>
      <c r="F15" s="15">
        <f>IF(B15=0,0,(C15+D15)/B15)</f>
        <v/>
      </c>
    </row>
    <row r="16">
      <c r="A16" s="16" t="inlineStr">
        <is>
          <t>Total</t>
        </is>
      </c>
      <c r="B16" s="17">
        <f>SUM(B4:B15)</f>
        <v/>
      </c>
      <c r="C16" s="17">
        <f>SUM(C4:C15)</f>
        <v/>
      </c>
      <c r="D16" s="17">
        <f>SUM(D4:D15)</f>
        <v/>
      </c>
      <c r="E16" s="17">
        <f>SUM(E4:E15)</f>
        <v/>
      </c>
      <c r="F16" s="18">
        <f>IF(B16=0,0,(C16+D16)/B16)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2026-10-07T23:06:39Z</dcterms:created>
  <dcterms:modified xmlns:dcterms="http://purl.org/dc/terms/" xmlns:xsi="http://www.w3.org/2001/XMLSchema-instance" xsi:type="dcterms:W3CDTF">2026-10-07T23:06:51Z</dcterms:modified>
</cp:coreProperties>
</file>